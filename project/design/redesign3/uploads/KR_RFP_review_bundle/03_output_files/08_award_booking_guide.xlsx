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 Booking Guide" sheetId="1" state="visible" r:id="rId1"/>
  </sheets>
  <definedNames>
    <definedName name="_xlnm._FilterDatabase" localSheetId="0" hidden="1">'Internal Booking Guide'!$A$5:$M$9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9"/>
    </font>
    <font>
      <b val="1"/>
      <color rgb="00FFFFFF"/>
      <sz val="11"/>
    </font>
    <font>
      <b val="1"/>
      <color rgb="001F3864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0" customWidth="1" min="4" max="4"/>
    <col width="26" customWidth="1" min="5" max="5"/>
    <col width="13" customWidth="1" min="6" max="6"/>
    <col width="14" customWidth="1" min="7" max="7"/>
    <col width="14" customWidth="1" min="8" max="8"/>
    <col width="18" customWidth="1" min="9" max="9"/>
    <col width="20" customWidth="1" min="10" max="10"/>
    <col width="20" customWidth="1" min="11" max="11"/>
    <col width="16" customWidth="1" min="12" max="12"/>
    <col width="22" customWidth="1" min="13" max="13"/>
  </cols>
  <sheetData>
    <row r="1" ht="22" customHeight="1">
      <c r="A1" s="1" t="inlineStr">
        <is>
          <t>INTERNAL BOOKING GUIDE — Spring 2026 Tomatoes Cycle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Awarded from Scenario B (Scenario B (frozen award)) · post-award: selected → awarded → frozen → signed off (D22)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Generated 2026-06-21 · LIVE CYCLE DATA — real names &amp; prices · DECISION-SUPPORT — recommends, does not assert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 ht="30" customHeight="1">
      <c r="A5" s="4" t="inlineStr">
        <is>
          <t>DC</t>
        </is>
      </c>
      <c r="B5" s="4" t="inlineStr">
        <is>
          <t>Lot</t>
        </is>
      </c>
      <c r="C5" s="4" t="inlineStr">
        <is>
          <t>Item</t>
        </is>
      </c>
      <c r="D5" s="4" t="inlineStr">
        <is>
          <t>Timeframe</t>
        </is>
      </c>
      <c r="E5" s="4" t="inlineStr">
        <is>
          <t>Awarded Supplier</t>
        </is>
      </c>
      <c r="F5" s="4" t="inlineStr">
        <is>
          <t>Volume Share</t>
        </is>
      </c>
      <c r="G5" s="4" t="inlineStr">
        <is>
          <t>FOB $/case</t>
        </is>
      </c>
      <c r="H5" s="4" t="inlineStr">
        <is>
          <t>Landed $/case</t>
        </is>
      </c>
      <c r="I5" s="4" t="inlineStr">
        <is>
          <t>Awarded Period Cases</t>
        </is>
      </c>
      <c r="J5" s="4" t="inlineStr">
        <is>
          <t>Line Spend</t>
        </is>
      </c>
      <c r="K5" s="4" t="inlineStr">
        <is>
          <t>Routing Baseline $/case</t>
        </is>
      </c>
      <c r="L5" s="4" t="inlineStr">
        <is>
          <t>Savings vs Baseline</t>
        </is>
      </c>
      <c r="M5" s="4" t="inlineStr">
        <is>
          <t>Key ref (DC·lot·sup)</t>
        </is>
      </c>
    </row>
    <row r="6">
      <c r="A6" s="5" t="inlineStr">
        <is>
          <t>Atlanta DC</t>
        </is>
      </c>
      <c r="B6" s="5" t="inlineStr">
        <is>
          <t>Lot 1 - Grape</t>
        </is>
      </c>
      <c r="C6" s="5" t="inlineStr">
        <is>
          <t>Premium Grape Tomato 10oz</t>
        </is>
      </c>
      <c r="D6" s="5" t="inlineStr">
        <is>
          <t>Spring 2026</t>
        </is>
      </c>
      <c r="E6" s="5" t="inlineStr">
        <is>
          <t>Green Valley Farms</t>
        </is>
      </c>
      <c r="F6" s="6" t="n">
        <v>1</v>
      </c>
      <c r="G6" s="7" t="n">
        <v>10.5</v>
      </c>
      <c r="H6" s="7" t="n">
        <v>10.5</v>
      </c>
      <c r="I6" s="8" t="n">
        <v>5200</v>
      </c>
      <c r="J6" s="7" t="n">
        <v>54600</v>
      </c>
      <c r="K6" s="7" t="n">
        <v>13.5</v>
      </c>
      <c r="L6" s="6" t="n">
        <v>0.2222222222222222</v>
      </c>
      <c r="M6" s="5" t="inlineStr">
        <is>
          <t>DC01·LOT-01·SUP-01</t>
        </is>
      </c>
    </row>
    <row r="7">
      <c r="A7" s="5" t="inlineStr">
        <is>
          <t>Atlanta DC</t>
        </is>
      </c>
      <c r="B7" s="5" t="inlineStr">
        <is>
          <t>Lot 2 - Roma</t>
        </is>
      </c>
      <c r="C7" s="5" t="inlineStr">
        <is>
          <t>Roma Tomato Bulk 25lb</t>
        </is>
      </c>
      <c r="D7" s="5" t="inlineStr">
        <is>
          <t>Spring 2026</t>
        </is>
      </c>
      <c r="E7" s="5" t="inlineStr">
        <is>
          <t>Sunbelt Produce</t>
        </is>
      </c>
      <c r="F7" s="6" t="n">
        <v>1</v>
      </c>
      <c r="G7" s="7" t="n">
        <v>10.5</v>
      </c>
      <c r="H7" s="7" t="n">
        <v>10.5</v>
      </c>
      <c r="I7" s="8" t="n">
        <v>5200</v>
      </c>
      <c r="J7" s="7" t="n">
        <v>54600</v>
      </c>
      <c r="K7" s="7" t="n">
        <v>13.5</v>
      </c>
      <c r="L7" s="6" t="n">
        <v>0.2222222222222222</v>
      </c>
      <c r="M7" s="5" t="inlineStr">
        <is>
          <t>DC01·LOT-02·SUP-02</t>
        </is>
      </c>
    </row>
    <row r="8">
      <c r="A8" s="5" t="inlineStr">
        <is>
          <t>Dallas DC</t>
        </is>
      </c>
      <c r="B8" s="5" t="inlineStr">
        <is>
          <t>Lot 1 - Grape</t>
        </is>
      </c>
      <c r="C8" s="5" t="inlineStr">
        <is>
          <t>Premium Grape Tomato 10oz</t>
        </is>
      </c>
      <c r="D8" s="5" t="inlineStr">
        <is>
          <t>Spring 2026</t>
        </is>
      </c>
      <c r="E8" s="5" t="inlineStr">
        <is>
          <t>Green Valley Farms</t>
        </is>
      </c>
      <c r="F8" s="6" t="n">
        <v>1</v>
      </c>
      <c r="G8" s="7" t="n">
        <v>10.5</v>
      </c>
      <c r="H8" s="7" t="n">
        <v>10.5</v>
      </c>
      <c r="I8" s="8" t="n">
        <v>5200</v>
      </c>
      <c r="J8" s="7" t="n">
        <v>54600</v>
      </c>
      <c r="K8" s="7" t="n">
        <v>13.5</v>
      </c>
      <c r="L8" s="6" t="n">
        <v>0.2222222222222222</v>
      </c>
      <c r="M8" s="5" t="inlineStr">
        <is>
          <t>DC02·LOT-01·SUP-01</t>
        </is>
      </c>
    </row>
    <row r="9">
      <c r="A9" s="5" t="inlineStr">
        <is>
          <t>Dallas DC</t>
        </is>
      </c>
      <c r="B9" s="5" t="inlineStr">
        <is>
          <t>Lot 2 - Roma</t>
        </is>
      </c>
      <c r="C9" s="5" t="inlineStr">
        <is>
          <t>Roma Tomato Bulk 25lb</t>
        </is>
      </c>
      <c r="D9" s="5" t="inlineStr">
        <is>
          <t>Spring 2026</t>
        </is>
      </c>
      <c r="E9" s="5" t="inlineStr">
        <is>
          <t>Sunbelt Produce</t>
        </is>
      </c>
      <c r="F9" s="6" t="n">
        <v>1</v>
      </c>
      <c r="G9" s="7" t="n">
        <v>10.5</v>
      </c>
      <c r="H9" s="7" t="n">
        <v>10.5</v>
      </c>
      <c r="I9" s="8" t="n">
        <v>5200</v>
      </c>
      <c r="J9" s="7" t="n">
        <v>54600</v>
      </c>
      <c r="K9" s="7" t="n">
        <v>13.5</v>
      </c>
      <c r="L9" s="6" t="n">
        <v>0.2222222222222222</v>
      </c>
      <c r="M9" s="5" t="inlineStr">
        <is>
          <t>DC02·LOT-02·SUP-02</t>
        </is>
      </c>
    </row>
    <row r="10">
      <c r="A10" s="9" t="inlineStr">
        <is>
          <t>TOTAL</t>
        </is>
      </c>
      <c r="B10" s="9" t="n"/>
      <c r="C10" s="9" t="n"/>
      <c r="D10" s="9" t="n"/>
      <c r="E10" s="9" t="n"/>
      <c r="F10" s="10" t="n"/>
      <c r="G10" s="10" t="n"/>
      <c r="H10" s="10" t="n"/>
      <c r="I10" s="11">
        <f>SUM(I6:I9)</f>
        <v/>
      </c>
      <c r="J10" s="12">
        <f>SUM(J6:J9)</f>
        <v/>
      </c>
      <c r="K10" s="10" t="n"/>
      <c r="L10" s="10" t="n"/>
      <c r="M10" s="9" t="n"/>
    </row>
  </sheetData>
  <autoFilter ref="A5:M9"/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2026-06-21T18:53:30Z</dcterms:created>
  <dcterms:modified xsi:type="dcterms:W3CDTF">2026-06-21T18:53:30Z</dcterms:modified>
</cp:coreProperties>
</file>