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ols" sheetId="2" state="visible" r:id="rId2"/>
    <sheet name="Award Summary" sheetId="3" state="visible" r:id="rId3"/>
    <sheet name="Scenario Comparison" sheetId="4" state="visible" r:id="rId4"/>
    <sheet name="Lowest-Cost Check" sheetId="5" state="visible" r:id="rId5"/>
    <sheet name="Supplier Comparison" sheetId="6" state="visible" r:id="rId6"/>
    <sheet name="Landed &amp; Hidden Costs" sheetId="7" state="visible" r:id="rId7"/>
    <sheet name="Share &amp; Relationships" sheetId="8" state="visible" r:id="rId8"/>
    <sheet name="Incumbent Retention" sheetId="9" state="visible" r:id="rId9"/>
    <sheet name="Negotiation Dynamics" sheetId="10" state="visible" r:id="rId10"/>
    <sheet name="Coverage" sheetId="11" state="visible" r:id="rId11"/>
    <sheet name="Detailed Scoring" sheetId="12" state="visible" r:id="rId12"/>
    <sheet name="Data Quality" sheetId="13" state="visible" r:id="rId13"/>
    <sheet name="_Prices" sheetId="14" state="hidden" r:id="rId14"/>
    <sheet name="Custom Scenario" sheetId="15" state="visible" r:id="rId15"/>
    <sheet name="Custom Dashboard" sheetId="16" state="visible" r:id="rId16"/>
    <sheet name="Data (pivot me)" sheetId="17" state="visible" r:id="rId17"/>
  </sheets>
  <definedNames>
    <definedName name="_xlnm._FilterDatabase" localSheetId="2" hidden="1">'Award Summary'!$A$5:$J$7</definedName>
    <definedName name="_xlnm._FilterDatabase" localSheetId="3" hidden="1">'Scenario Comparison'!$A$6:$I$14</definedName>
    <definedName name="_xlnm._FilterDatabase" localSheetId="4" hidden="1">'Lowest-Cost Check'!$A$6:$J$10</definedName>
    <definedName name="_xlnm._FilterDatabase" localSheetId="5" hidden="1">'Supplier Comparison'!$A$7:$O$11</definedName>
    <definedName name="_xlnm._FilterDatabase" localSheetId="6" hidden="1">'Landed &amp; Hidden Costs'!$A$5:$K$13</definedName>
    <definedName name="_xlnm._FilterDatabase" localSheetId="7" hidden="1">'Share &amp; Relationships'!$A$6:$K$8</definedName>
    <definedName name="_xlnm._FilterDatabase" localSheetId="8" hidden="1">'Incumbent Retention'!$A$5:$L$9</definedName>
    <definedName name="_xlnm._FilterDatabase" localSheetId="9" hidden="1">'Negotiation Dynamics'!$A$6:$G$8</definedName>
    <definedName name="_xlnm._FilterDatabase" localSheetId="10" hidden="1">'Coverage'!$A$6:$K$14</definedName>
    <definedName name="_xlnm._FilterDatabase" localSheetId="11" hidden="1">'Detailed Scoring'!$A$5:$S$13</definedName>
    <definedName name="_xlnm._FilterDatabase" localSheetId="14" hidden="1">'Custom Scenario'!$A$6:$N$10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6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color rgb="00FFFFFF"/>
      <sz val="10"/>
    </font>
    <font>
      <b val="1"/>
      <color rgb="00548235"/>
      <sz val="14"/>
    </font>
    <font>
      <b val="1"/>
      <color rgb="00BF8F00"/>
      <sz val="14"/>
    </font>
    <font>
      <b val="1"/>
      <color rgb="002E5496"/>
      <sz val="14"/>
    </font>
    <font>
      <b val="1"/>
      <color rgb="001F3864"/>
      <sz val="14"/>
    </font>
    <font>
      <i val="1"/>
      <color rgb="00808080"/>
      <sz val="9"/>
    </font>
    <font>
      <b val="1"/>
      <color rgb="00006100"/>
    </font>
    <font>
      <b val="1"/>
      <color rgb="009C0006"/>
    </font>
    <font>
      <b val="1"/>
      <color rgb="007F6000"/>
    </font>
    <font>
      <i val="1"/>
      <color rgb="001F3864"/>
      <sz val="10"/>
    </font>
    <font>
      <b val="1"/>
      <i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/>
    </xf>
    <xf numFmtId="3" fontId="1" fillId="6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164" fontId="1" fillId="7" borderId="1" applyAlignment="1" pivotButton="0" quotePrefix="0" xfId="0">
      <alignment horizontal="center" vertical="center"/>
    </xf>
    <xf numFmtId="3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164" fontId="1" fillId="8" borderId="1" applyAlignment="1" pivotButton="0" quotePrefix="0" xfId="0">
      <alignment horizontal="center" vertical="center"/>
    </xf>
    <xf numFmtId="3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64" fontId="1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12" fillId="12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  <xf numFmtId="0" fontId="13" fillId="1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6" borderId="0" pivotButton="0" quotePrefix="0" xfId="0"/>
    <xf numFmtId="0" fontId="0" fillId="10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AwardData" displayName="AwardData" ref="A2:AA30" headerRowCount="1">
  <autoFilter ref="A2:AA30"/>
  <tableColumns count="27">
    <tableColumn id="1" name="Scenario"/>
    <tableColumn id="2" name="Scenario Label"/>
    <tableColumn id="3" name="DC"/>
    <tableColumn id="4" name="Lot"/>
    <tableColumn id="5" name="Item"/>
    <tableColumn id="6" name="Timeframe"/>
    <tableColumn id="7" name="Awarded Supplier"/>
    <tableColumn id="8" name="Incumbent"/>
    <tableColumn id="9" name="Is Incumbent"/>
    <tableColumn id="10" name="Volume (cases)"/>
    <tableColumn id="11" name="Volume Share"/>
    <tableColumn id="12" name="$/case"/>
    <tableColumn id="13" name="Spend"/>
    <tableColumn id="14" name="Baseline $/case"/>
    <tableColumn id="15" name="Baseline Spend"/>
    <tableColumn id="16" name="Savings vs Baseline ($)"/>
    <tableColumn id="17" name="Premium vs Baseline"/>
    <tableColumn id="18" name="Price Score"/>
    <tableColumn id="19" name="Coverage Score"/>
    <tableColumn id="20" name="Historical Score"/>
    <tableColumn id="21" name="Z-Risk Score"/>
    <tableColumn id="22" name="Continuity Score"/>
    <tableColumn id="23" name="RecScore"/>
    <tableColumn id="24" name="Cap-Breach"/>
    <tableColumn id="25" name="Fallback"/>
    <tableColumn id="26" name="Transit (days)"/>
    <tableColumn id="27" name="Relation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2" customHeight="1">
      <c r="A1" s="1" t="inlineStr">
        <is>
          <t>MID-CYCLE ALIGNMENT ANALYSIS — Spring 2026 Tomatoes Cycle</t>
        </is>
      </c>
      <c r="B1" s="2" t="n"/>
    </row>
    <row r="2">
      <c r="A2" s="3" t="inlineStr">
        <is>
          <t>Cycle CYC-20260621-30BC · Round 1 (run 1) · Analysis v1 · sealed 2026-06-21 18:53</t>
        </is>
      </c>
      <c r="B2" s="2" t="n"/>
    </row>
    <row r="3">
      <c r="A3" s="3" t="inlineStr">
        <is>
          <t>ALIGNMENT / COMPARISON tool (D26) — what the team works through to DECIDE, not a final summary.</t>
        </is>
      </c>
      <c r="B3" s="2" t="n"/>
    </row>
    <row r="4">
      <c r="A4" s="3" t="inlineStr">
        <is>
          <t>Generated 2026-06-21 · LIVE CYCLE DATA — real names &amp; prices · DECISION-SUPPORT — recommends, does not assert</t>
        </is>
      </c>
      <c r="B4" s="2" t="n"/>
    </row>
    <row r="5"/>
    <row r="6" ht="30" customHeight="1">
      <c r="A6" s="4" t="inlineStr">
        <is>
          <t>Item</t>
        </is>
      </c>
      <c r="B6" s="4" t="inlineStr">
        <is>
          <t>Value</t>
        </is>
      </c>
    </row>
    <row r="7" ht="30" customHeight="1">
      <c r="A7" s="5" t="inlineStr">
        <is>
          <t>Cycle</t>
        </is>
      </c>
      <c r="B7" s="6" t="inlineStr">
        <is>
          <t>CYC-20260621-30BC — Spring 2026 Tomatoes Cycle</t>
        </is>
      </c>
    </row>
    <row r="8" ht="30" customHeight="1">
      <c r="A8" s="5" t="inlineStr">
        <is>
          <t>Scope</t>
        </is>
      </c>
      <c r="B8" s="6" t="inlineStr">
        <is>
          <t>2 DCs × 2 lots × 1 timeframes; 2 invited suppliers</t>
        </is>
      </c>
    </row>
    <row r="9" ht="30" customHeight="1">
      <c r="A9" s="5" t="inlineStr">
        <is>
          <t>Strategy</t>
        </is>
      </c>
      <c r="B9" s="6" t="inlineStr">
        <is>
          <t>balanced preset · weights P0.31/Cov0.22/Hist0.18/Z0.09/Cont0.20 · max 2 suppliers/DC</t>
        </is>
      </c>
    </row>
    <row r="10" ht="30" customHeight="1">
      <c r="A10" s="5" t="inlineStr">
        <is>
          <t>Headline (A vs B)</t>
        </is>
      </c>
      <c r="B10" s="6" t="inlineStr">
        <is>
          <t>Recommendation = Scenario B (Risk-adjusted recommendation): $218,400 spend, 22.2% vs baseline, 0.0% above the Scenario A lowest-cost benchmark ($218,400) — the risk-adjusted premium for coverage/continuity.</t>
        </is>
      </c>
    </row>
    <row r="11" ht="30" customHeight="1">
      <c r="A11" s="5" t="inlineStr">
        <is>
          <t>How to use this workbook</t>
        </is>
      </c>
      <c r="B11" s="6" t="inlineStr">
        <is>
          <t>Supplier Comparison = every supplier per cell side by side (the price debate). Scenario Comparison = the lenses side by side (which lens). Custom Scenario = override per cell, watch spend/savings recompute live.</t>
        </is>
      </c>
    </row>
    <row r="12"/>
    <row r="13">
      <c r="A13" s="1" t="inlineStr">
        <is>
          <t>Headline KPIs — the four lenses (cost · hidden cost · relationships · negotiation)</t>
        </is>
      </c>
      <c r="B13" s="2" t="n"/>
    </row>
    <row r="14" ht="24" customHeight="1">
      <c r="A14" s="7" t="inlineStr">
        <is>
          <t>Cost &amp; savings — Savings vs incumbent</t>
        </is>
      </c>
      <c r="B14" s="8" t="inlineStr">
        <is>
          <t>$62,400</t>
        </is>
      </c>
    </row>
    <row r="15" ht="24" customHeight="1">
      <c r="A15" s="7" t="inlineStr">
        <is>
          <t>Cost &amp; savings — Savings %</t>
        </is>
      </c>
      <c r="B15" s="8" t="inlineStr">
        <is>
          <t>22.2%</t>
        </is>
      </c>
    </row>
    <row r="16" ht="24" customHeight="1">
      <c r="A16" s="9" t="inlineStr">
        <is>
          <t>Hidden costs — Avg transit (days)</t>
        </is>
      </c>
      <c r="B16" s="10" t="inlineStr">
        <is>
          <t>0.0</t>
        </is>
      </c>
    </row>
    <row r="17" ht="24" customHeight="1">
      <c r="A17" s="9" t="inlineStr">
        <is>
          <t>Hidden costs — Freshness watches</t>
        </is>
      </c>
      <c r="B17" s="10" t="inlineStr">
        <is>
          <t>0</t>
        </is>
      </c>
    </row>
    <row r="18" ht="24" customHeight="1">
      <c r="A18" s="11" t="inlineStr">
        <is>
          <t>Relationships — Preserved / Created</t>
        </is>
      </c>
      <c r="B18" s="12" t="inlineStr">
        <is>
          <t>1 / 1</t>
        </is>
      </c>
    </row>
    <row r="19" ht="24" customHeight="1">
      <c r="A19" s="13" t="inlineStr">
        <is>
          <t>Negotiation — Incumbent vs field move</t>
        </is>
      </c>
      <c r="B19" s="14" t="inlineStr">
        <is>
          <t>0.0% / 0.0% (in line)</t>
        </is>
      </c>
    </row>
    <row r="20"/>
    <row r="21">
      <c r="A21" s="1" t="inlineStr">
        <is>
          <t>What's in this workbook (where to go)</t>
        </is>
      </c>
      <c r="B21" s="2" t="n"/>
    </row>
    <row r="22">
      <c r="A22" s="15" t="inlineStr">
        <is>
          <t>Tab</t>
        </is>
      </c>
      <c r="B22" s="15" t="inlineStr">
        <is>
          <t>Answers the question</t>
        </is>
      </c>
    </row>
    <row r="23" ht="22" customHeight="1">
      <c r="A23" s="5" t="inlineStr">
        <is>
          <t>Controls</t>
        </is>
      </c>
      <c r="B23" s="16" t="inlineStr">
        <is>
          <t>How was this run? Horizon, scope, baselines, engine weights &amp; rules.</t>
        </is>
      </c>
    </row>
    <row r="24" ht="18" customHeight="1">
      <c r="A24" s="17" t="inlineStr">
        <is>
          <t>§ DECIDE — cost &amp; savings</t>
        </is>
      </c>
      <c r="B24" s="18" t="n"/>
    </row>
    <row r="25" ht="22" customHeight="1">
      <c r="A25" s="5" t="inlineStr">
        <is>
          <t>Award Summary</t>
        </is>
      </c>
      <c r="B25" s="16" t="inlineStr">
        <is>
          <t>The recommendation: per-DC incumbent→recommended + savings $ to sign.</t>
        </is>
      </c>
    </row>
    <row r="26" ht="22" customHeight="1">
      <c r="A26" s="5" t="inlineStr">
        <is>
          <t>Scenario Comparison</t>
        </is>
      </c>
      <c r="B26" s="16" t="inlineStr">
        <is>
          <t>Which lens? A-G + LIVE Custom side by side, drill to DC.</t>
        </is>
      </c>
    </row>
    <row r="27" ht="22" customHeight="1">
      <c r="A27" s="5" t="inlineStr">
        <is>
          <t>Lowest-Cost Check</t>
        </is>
      </c>
      <c r="B27" s="16" t="inlineStr">
        <is>
          <t>Is the rec the cheapest? If not, the premium it trades.</t>
        </is>
      </c>
    </row>
    <row r="28" ht="18" customHeight="1">
      <c r="A28" s="17" t="inlineStr">
        <is>
          <t>§ COMPARE SUPPLIERS</t>
        </is>
      </c>
      <c r="B28" s="18" t="n"/>
    </row>
    <row r="29" ht="22" customHeight="1">
      <c r="A29" s="5" t="inlineStr">
        <is>
          <t>Supplier Comparison</t>
        </is>
      </c>
      <c r="B29" s="16" t="inlineStr">
        <is>
          <t>Which supplier per cell? Every eligible supplier's $/case.</t>
        </is>
      </c>
    </row>
    <row r="30" ht="22" customHeight="1">
      <c r="A30" s="5" t="inlineStr">
        <is>
          <t>Landed &amp; Hidden Costs</t>
        </is>
      </c>
      <c r="B30" s="16" t="inlineStr">
        <is>
          <t>Beyond price: freight + transit/freshness — the true cost.</t>
        </is>
      </c>
    </row>
    <row r="31" ht="18" customHeight="1">
      <c r="A31" s="17" t="inlineStr">
        <is>
          <t>§ RELATIONSHIPS &amp; NEGOTIATION</t>
        </is>
      </c>
      <c r="B31" s="18" t="n"/>
    </row>
    <row r="32" ht="22" customHeight="1">
      <c r="A32" s="5" t="inlineStr">
        <is>
          <t>Share &amp; Relationships</t>
        </is>
      </c>
      <c r="B32" s="16" t="inlineStr">
        <is>
          <t>Who carries the business — preserve vs create + dependency.</t>
        </is>
      </c>
    </row>
    <row r="33" ht="22" customHeight="1">
      <c r="A33" s="5" t="inlineStr">
        <is>
          <t>Incumbent Retention</t>
        </is>
      </c>
      <c r="B33" s="16" t="inlineStr">
        <is>
          <t>What keeping each incumbent costs vs the rec.</t>
        </is>
      </c>
    </row>
    <row r="34" ht="22" customHeight="1">
      <c r="A34" s="5" t="inlineStr">
        <is>
          <t>Negotiation Dynamics</t>
        </is>
      </c>
      <c r="B34" s="16" t="inlineStr">
        <is>
          <t>Treated fairly? Concession vs the field, real risk vs theater.</t>
        </is>
      </c>
    </row>
    <row r="35" ht="18" customHeight="1">
      <c r="A35" s="17" t="inlineStr">
        <is>
          <t>§ DILIGENCE</t>
        </is>
      </c>
      <c r="B35" s="18" t="n"/>
    </row>
    <row r="36" ht="22" customHeight="1">
      <c r="A36" s="5" t="inlineStr">
        <is>
          <t>Coverage</t>
        </is>
      </c>
      <c r="B36" s="16" t="inlineStr">
        <is>
          <t>Can they supply it? Offered vs required volume + cover band.</t>
        </is>
      </c>
    </row>
    <row r="37" ht="22" customHeight="1">
      <c r="A37" s="5" t="inlineStr">
        <is>
          <t>Detailed Scoring</t>
        </is>
      </c>
      <c r="B37" s="16" t="inlineStr">
        <is>
          <t>Why these scores? The 5 factors + the market stats behind them.</t>
        </is>
      </c>
    </row>
    <row r="38" ht="22" customHeight="1">
      <c r="A38" s="5" t="inlineStr">
        <is>
          <t>Data Quality</t>
        </is>
      </c>
      <c r="B38" s="16" t="inlineStr">
        <is>
          <t>What's missing/thin? No-bids, thin competition, gate flags.</t>
        </is>
      </c>
    </row>
    <row r="39" ht="18" customHeight="1">
      <c r="A39" s="17" t="inlineStr">
        <is>
          <t>§ BUILD &amp; SLICE</t>
        </is>
      </c>
      <c r="B39" s="18" t="n"/>
    </row>
    <row r="40" ht="22" customHeight="1">
      <c r="A40" s="5" t="inlineStr">
        <is>
          <t>Custom Scenario</t>
        </is>
      </c>
      <c r="B40" s="16" t="inlineStr">
        <is>
          <t>Build your own: override the supplier per cell, recomputes live.</t>
        </is>
      </c>
    </row>
    <row r="41" ht="22" customHeight="1">
      <c r="A41" s="5" t="inlineStr">
        <is>
          <t>Custom Dashboard</t>
        </is>
      </c>
      <c r="B41" s="16" t="inlineStr">
        <is>
          <t>Your build's lenses LIVE — spend, savings, share, transit move too.</t>
        </is>
      </c>
    </row>
    <row r="42" ht="22" customHeight="1">
      <c r="A42" s="5" t="inlineStr">
        <is>
          <t>Data (pivot me)</t>
        </is>
      </c>
      <c r="B42" s="16" t="inlineStr">
        <is>
          <t>Slice it yourself: a flat Excel Table to drop a native PivotTable on.</t>
        </is>
      </c>
    </row>
  </sheetData>
  <mergeCells count="11">
    <mergeCell ref="A4:B4"/>
    <mergeCell ref="A21:B21"/>
    <mergeCell ref="A2:B2"/>
    <mergeCell ref="A24:B24"/>
    <mergeCell ref="A28:B28"/>
    <mergeCell ref="A13:B13"/>
    <mergeCell ref="A1:B1"/>
    <mergeCell ref="A31:B31"/>
    <mergeCell ref="A3:B3"/>
    <mergeCell ref="A39:B39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 ht="22" customHeight="1">
      <c r="A1" s="1" t="inlineStr">
        <is>
          <t>Controls &amp; Assumptions — how this cycle was run</t>
        </is>
      </c>
      <c r="B1" s="2" t="n"/>
    </row>
    <row r="2">
      <c r="A2" s="3" t="inlineStr">
        <is>
          <t>Spring 2026 Tomatoes Cycle</t>
        </is>
      </c>
      <c r="B2" s="2" t="n"/>
    </row>
    <row r="3">
      <c r="A3" s="3" t="inlineStr">
        <is>
          <t>DECISION-SUPPORT — recommends, does not assert</t>
        </is>
      </c>
      <c r="B3" s="2" t="n"/>
    </row>
    <row r="4"/>
    <row r="5">
      <c r="A5" s="19" t="inlineStr">
        <is>
          <t>Cycle</t>
        </is>
      </c>
      <c r="B5" s="20" t="n"/>
    </row>
    <row r="6">
      <c r="A6" s="5" t="inlineStr">
        <is>
          <t>Commodity</t>
        </is>
      </c>
      <c r="B6" s="6" t="inlineStr">
        <is>
          <t>Field Tomatoes</t>
        </is>
      </c>
    </row>
    <row r="7">
      <c r="A7" s="5" t="inlineStr">
        <is>
          <t>Cycle code</t>
        </is>
      </c>
      <c r="B7" s="6" t="inlineStr">
        <is>
          <t>CYC-20260621-30BC</t>
        </is>
      </c>
    </row>
    <row r="8">
      <c r="A8" s="5" t="inlineStr">
        <is>
          <t>Horizon (weeks)</t>
        </is>
      </c>
      <c r="B8" s="21" t="n">
        <v>13</v>
      </c>
    </row>
    <row r="9">
      <c r="A9" s="5" t="inlineStr">
        <is>
          <t>Timeframes (seasons)</t>
        </is>
      </c>
      <c r="B9" s="21" t="n">
        <v>1</v>
      </c>
    </row>
    <row r="10">
      <c r="A10" s="5" t="inlineStr">
        <is>
          <t>Rounds run</t>
        </is>
      </c>
      <c r="B10" s="21" t="n">
        <v>2</v>
      </c>
    </row>
    <row r="11">
      <c r="A11" s="19" t="inlineStr">
        <is>
          <t>Scope</t>
        </is>
      </c>
      <c r="B11" s="20" t="n"/>
    </row>
    <row r="12">
      <c r="A12" s="5" t="inlineStr">
        <is>
          <t>DCs</t>
        </is>
      </c>
      <c r="B12" s="21" t="n">
        <v>2</v>
      </c>
    </row>
    <row r="13">
      <c r="A13" s="5" t="inlineStr">
        <is>
          <t>Lots (items)</t>
        </is>
      </c>
      <c r="B13" s="21" t="n">
        <v>2</v>
      </c>
    </row>
    <row r="14">
      <c r="A14" s="5" t="inlineStr">
        <is>
          <t>Suppliers invited</t>
        </is>
      </c>
      <c r="B14" s="21" t="n">
        <v>2</v>
      </c>
    </row>
    <row r="15">
      <c r="A15" s="5" t="inlineStr">
        <is>
          <t>Total projected cases (period)</t>
        </is>
      </c>
      <c r="B15" s="21" t="n">
        <v>20800</v>
      </c>
    </row>
    <row r="16">
      <c r="A16" s="19" t="inlineStr">
        <is>
          <t>Baselines</t>
        </is>
      </c>
      <c r="B16" s="20" t="n"/>
    </row>
    <row r="17">
      <c r="A17" s="5" t="inlineStr">
        <is>
          <t>Incumbent baseline spend (iTrade routing)</t>
        </is>
      </c>
      <c r="B17" s="22" t="n">
        <v>280800</v>
      </c>
    </row>
    <row r="18">
      <c r="A18" s="5" t="inlineStr">
        <is>
          <t>STLY baseline (modeled — iTrade pending)</t>
        </is>
      </c>
      <c r="B18" s="22" t="n">
        <v>292032</v>
      </c>
    </row>
    <row r="19">
      <c r="A19" s="5" t="inlineStr">
        <is>
          <t>Recommended (Scenario B) spend</t>
        </is>
      </c>
      <c r="B19" s="22" t="n">
        <v>218400</v>
      </c>
    </row>
    <row r="20">
      <c r="A20" s="5" t="inlineStr">
        <is>
          <t>Savings vs incumbent (period $)</t>
        </is>
      </c>
      <c r="B20" s="22" t="n">
        <v>62400</v>
      </c>
    </row>
    <row r="21">
      <c r="A21" s="5" t="inlineStr">
        <is>
          <t>Negotiation savings R1→Final (period $)</t>
        </is>
      </c>
      <c r="B21" s="22" t="n">
        <v>0</v>
      </c>
    </row>
    <row r="22">
      <c r="A22" s="19" t="inlineStr">
        <is>
          <t>Engine weights</t>
        </is>
      </c>
      <c r="B22" s="20" t="n"/>
    </row>
    <row r="23">
      <c r="A23" s="5" t="inlineStr">
        <is>
          <t>Price weight</t>
        </is>
      </c>
      <c r="B23" s="23" t="n">
        <v>0.31</v>
      </c>
    </row>
    <row r="24">
      <c r="A24" s="5" t="inlineStr">
        <is>
          <t>Coverage weight</t>
        </is>
      </c>
      <c r="B24" s="23" t="n">
        <v>0.22</v>
      </c>
    </row>
    <row r="25">
      <c r="A25" s="5" t="inlineStr">
        <is>
          <t>Historical weight</t>
        </is>
      </c>
      <c r="B25" s="23" t="n">
        <v>0.18</v>
      </c>
    </row>
    <row r="26">
      <c r="A26" s="5" t="inlineStr">
        <is>
          <t>Z-Risk weight</t>
        </is>
      </c>
      <c r="B26" s="23" t="n">
        <v>0.09</v>
      </c>
    </row>
    <row r="27">
      <c r="A27" s="5" t="inlineStr">
        <is>
          <t>Continuity weight</t>
        </is>
      </c>
      <c r="B27" s="23" t="n">
        <v>0.2</v>
      </c>
    </row>
    <row r="28">
      <c r="A28" s="19" t="inlineStr">
        <is>
          <t>Engine rules</t>
        </is>
      </c>
      <c r="B28" s="20" t="n"/>
    </row>
    <row r="29">
      <c r="A29" s="5" t="inlineStr">
        <is>
          <t>Max suppliers per DC (split cap)</t>
        </is>
      </c>
      <c r="B29" s="21" t="n">
        <v>2</v>
      </c>
    </row>
    <row r="30">
      <c r="A30" s="5" t="inlineStr">
        <is>
          <t>Concentration flag threshold</t>
        </is>
      </c>
      <c r="B30" s="23" t="n">
        <v>0.4</v>
      </c>
    </row>
    <row r="31">
      <c r="A31" s="5" t="inlineStr">
        <is>
          <t>Global premium ceiling</t>
        </is>
      </c>
      <c r="B31" s="23" t="n">
        <v>0.12</v>
      </c>
    </row>
    <row r="32">
      <c r="A32" s="5" t="inlineStr">
        <is>
          <t>Coverage eligibility floor</t>
        </is>
      </c>
      <c r="B32" s="23" t="n">
        <v>0.8</v>
      </c>
    </row>
    <row r="33"/>
    <row r="34" ht="30" customHeight="1">
      <c r="A34" s="24" t="inlineStr">
        <is>
          <t>Schema-backed: incumbent baseline, savings, weights, rules, rounds. Modeled (pending real feeds): STLY uplift (iTrade), product type — labelled where shown.</t>
        </is>
      </c>
    </row>
  </sheetData>
  <mergeCells count="9">
    <mergeCell ref="A2:B2"/>
    <mergeCell ref="A16:B16"/>
    <mergeCell ref="A11:B11"/>
    <mergeCell ref="A5:B5"/>
    <mergeCell ref="A28:B28"/>
    <mergeCell ref="A1:B1"/>
    <mergeCell ref="A3:B3"/>
    <mergeCell ref="A22:B22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8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</cols>
  <sheetData>
    <row r="1" ht="22" customHeight="1">
      <c r="A1" s="1" t="inlineStr">
        <is>
          <t>Award Summary (Sign-off) — Recommended: Scenario B (Risk-adjusted recommendation)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Per DC: incumbent → recommended, savings in $ vs TWO baselines + negotiation capture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/>
    <row r="5" ht="30" customHeight="1">
      <c r="A5" s="4" t="inlineStr">
        <is>
          <t>DC</t>
        </is>
      </c>
      <c r="B5" s="4" t="inlineStr">
        <is>
          <t>Incumbent</t>
        </is>
      </c>
      <c r="C5" s="4" t="inlineStr">
        <is>
          <t>Recommended</t>
        </is>
      </c>
      <c r="D5" s="4" t="inlineStr">
        <is>
          <t>Cells</t>
        </is>
      </c>
      <c r="E5" s="4" t="inlineStr">
        <is>
          <t>Rec spend (period)</t>
        </is>
      </c>
      <c r="F5" s="4" t="inlineStr">
        <is>
          <t>Incumbent baseline</t>
        </is>
      </c>
      <c r="G5" s="4" t="inlineStr">
        <is>
          <t>Savings vs incumbent $</t>
        </is>
      </c>
      <c r="H5" s="4" t="inlineStr">
        <is>
          <t>Savings vs incumbent %</t>
        </is>
      </c>
      <c r="I5" s="4" t="inlineStr">
        <is>
          <t>Savings vs STLY $</t>
        </is>
      </c>
      <c r="J5" s="4" t="inlineStr">
        <is>
          <t>Negotiation R1→Final $</t>
        </is>
      </c>
    </row>
    <row r="6">
      <c r="A6" s="6" t="inlineStr">
        <is>
          <t>Atlanta DC</t>
        </is>
      </c>
      <c r="B6" s="6" t="inlineStr">
        <is>
          <t>Green Valley Farms</t>
        </is>
      </c>
      <c r="C6" s="6" t="inlineStr">
        <is>
          <t>Green Valley Farms, Sunbelt Produce</t>
        </is>
      </c>
      <c r="D6" s="21" t="n">
        <v>2</v>
      </c>
      <c r="E6" s="22" t="n">
        <v>109200</v>
      </c>
      <c r="F6" s="22" t="n">
        <v>140400</v>
      </c>
      <c r="G6" s="22" t="n">
        <v>31200</v>
      </c>
      <c r="H6" s="23" t="n">
        <v>0.2222222222222222</v>
      </c>
      <c r="I6" s="22" t="n">
        <v>36816</v>
      </c>
      <c r="J6" s="22" t="n">
        <v>0</v>
      </c>
    </row>
    <row r="7">
      <c r="A7" s="6" t="inlineStr">
        <is>
          <t>Dallas DC</t>
        </is>
      </c>
      <c r="B7" s="6" t="inlineStr">
        <is>
          <t>Green Valley Farms</t>
        </is>
      </c>
      <c r="C7" s="6" t="inlineStr">
        <is>
          <t>Green Valley Farms, Sunbelt Produce</t>
        </is>
      </c>
      <c r="D7" s="21" t="n">
        <v>2</v>
      </c>
      <c r="E7" s="22" t="n">
        <v>109200</v>
      </c>
      <c r="F7" s="22" t="n">
        <v>140400</v>
      </c>
      <c r="G7" s="22" t="n">
        <v>31200</v>
      </c>
      <c r="H7" s="23" t="n">
        <v>0.2222222222222222</v>
      </c>
      <c r="I7" s="22" t="n">
        <v>36816</v>
      </c>
      <c r="J7" s="22" t="n">
        <v>0</v>
      </c>
    </row>
    <row r="8">
      <c r="A8" s="25" t="inlineStr">
        <is>
          <t>TOTAL</t>
        </is>
      </c>
      <c r="B8" s="25" t="n"/>
      <c r="C8" s="25" t="n"/>
      <c r="D8" s="26">
        <f>SUM(D6:D7)</f>
        <v/>
      </c>
      <c r="E8" s="27">
        <f>SUM(E6:E7)</f>
        <v/>
      </c>
      <c r="F8" s="27">
        <f>SUM(F6:F7)</f>
        <v/>
      </c>
      <c r="G8" s="27">
        <f>SUM(G6:G7)</f>
        <v/>
      </c>
      <c r="H8" s="28">
        <f>G8/F8</f>
        <v/>
      </c>
      <c r="I8" s="27">
        <f>SUM(I6:I7)</f>
        <v/>
      </c>
      <c r="J8" s="27">
        <f>SUM(J6:J7)</f>
        <v/>
      </c>
    </row>
    <row r="9"/>
    <row r="10"/>
    <row r="11">
      <c r="A11" s="1" t="inlineStr">
        <is>
          <t>By product type (Conventional / Organic)</t>
        </is>
      </c>
    </row>
    <row r="12">
      <c r="A12" s="15" t="inlineStr">
        <is>
          <t>Product type</t>
        </is>
      </c>
      <c r="B12" s="15" t="inlineStr">
        <is>
          <t>Rec spend</t>
        </is>
      </c>
      <c r="C12" s="15" t="inlineStr">
        <is>
          <t>Baseline</t>
        </is>
      </c>
      <c r="D12" s="15" t="inlineStr">
        <is>
          <t>Savings $</t>
        </is>
      </c>
      <c r="E12" s="15" t="inlineStr">
        <is>
          <t>Savings %</t>
        </is>
      </c>
    </row>
    <row r="13">
      <c r="A13" s="6" t="inlineStr">
        <is>
          <t>Conventional</t>
        </is>
      </c>
      <c r="B13" s="22" t="n">
        <v>218400</v>
      </c>
      <c r="C13" s="22" t="n">
        <v>280800</v>
      </c>
      <c r="D13" s="22" t="n">
        <v>62400</v>
      </c>
      <c r="E13" s="23" t="n">
        <v>0.2222222222222222</v>
      </c>
    </row>
  </sheetData>
  <autoFilter ref="A5:J7"/>
  <mergeCells count="4">
    <mergeCell ref="A11:E11"/>
    <mergeCell ref="A1:J1"/>
    <mergeCell ref="A3:J3"/>
    <mergeCell ref="A2:J2"/>
  </mergeCells>
  <conditionalFormatting sqref="G6:G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6:I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6:J7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/>
    <pageSetUpPr/>
  </sheetPr>
  <dimension ref="A1:I8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8" customWidth="1" min="4" max="4"/>
    <col width="16" customWidth="1" min="5" max="5"/>
    <col width="16" customWidth="1" min="6" max="6"/>
    <col width="11" customWidth="1" min="7" max="7"/>
    <col width="13" customWidth="1" min="8" max="8"/>
    <col width="9" customWidth="1" min="9" max="9"/>
  </cols>
  <sheetData>
    <row r="1" ht="22" customHeight="1">
      <c r="A1" s="1" t="inlineStr">
        <is>
          <t>SCENARIO COMPARISON — lenses side by side + LIVE Custom + drill (which lens?)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Rows A-G = the lenses; the Cust row is LIVE off the Custom Scenario tab (change a pick there and Custom spend / Δ vs A / savings update here). A = benchmark (peach), B = recommendation (blue).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▶ DRILL: below this table each scenario TOTAL expands (+ in the margin) to per-DC, then to per-supplier — opens collapsed to totals, expand for depth on demand (D27).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*Savings vs STLY uses a MODELED prior-year baseline (no live STLY feed yet: prior-year actual-paid modeled ~4% over this year's incumbent routing). Clearly labelled an estimate.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LIVE CYCLE DATA · baseline $280,800 · STLY* $292,032 · DECISION-SUPPORT — recommends, does not assert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0" customHeight="1">
      <c r="A6" s="4" t="inlineStr">
        <is>
          <t>Lens</t>
        </is>
      </c>
      <c r="B6" s="4" t="inlineStr">
        <is>
          <t>Scenario (label)</t>
        </is>
      </c>
      <c r="C6" s="4" t="inlineStr">
        <is>
          <t>Total Spend</t>
        </is>
      </c>
      <c r="D6" s="4" t="inlineStr">
        <is>
          <t>Δ vs A (lowest-cost)</t>
        </is>
      </c>
      <c r="E6" s="4" t="inlineStr">
        <is>
          <t>Savings vs Baseline</t>
        </is>
      </c>
      <c r="F6" s="4" t="inlineStr">
        <is>
          <t>Savings vs STLY*</t>
        </is>
      </c>
      <c r="G6" s="4" t="inlineStr">
        <is>
          <t># Suppliers</t>
        </is>
      </c>
      <c r="H6" s="4" t="inlineStr">
        <is>
          <t># Cap-Breaches</t>
        </is>
      </c>
      <c r="I6" s="4" t="inlineStr">
        <is>
          <t># Cells</t>
        </is>
      </c>
    </row>
    <row r="7">
      <c r="A7" s="29" t="inlineStr">
        <is>
          <t>A</t>
        </is>
      </c>
      <c r="B7" s="29" t="inlineStr">
        <is>
          <t>Lowest-cost reference</t>
        </is>
      </c>
      <c r="C7" s="30" t="n">
        <v>218400</v>
      </c>
      <c r="D7" s="30" t="n">
        <v>0</v>
      </c>
      <c r="E7" s="31" t="n">
        <v>0.2222222222222222</v>
      </c>
      <c r="F7" s="31" t="n">
        <v>0.2521367521367521</v>
      </c>
      <c r="G7" s="32" t="n">
        <v>2</v>
      </c>
      <c r="H7" s="32" t="n">
        <v>0</v>
      </c>
      <c r="I7" s="32" t="n">
        <v>4</v>
      </c>
    </row>
    <row r="8">
      <c r="A8" s="33" t="inlineStr">
        <is>
          <t>B</t>
        </is>
      </c>
      <c r="B8" s="33" t="inlineStr">
        <is>
          <t>Risk-adjusted recommendation</t>
        </is>
      </c>
      <c r="C8" s="34" t="n">
        <v>218400</v>
      </c>
      <c r="D8" s="34" t="n">
        <v>0</v>
      </c>
      <c r="E8" s="35" t="n">
        <v>0.2222222222222222</v>
      </c>
      <c r="F8" s="35" t="n">
        <v>0.2521367521367521</v>
      </c>
      <c r="G8" s="36" t="n">
        <v>2</v>
      </c>
      <c r="H8" s="36" t="n">
        <v>0</v>
      </c>
      <c r="I8" s="36" t="n">
        <v>4</v>
      </c>
    </row>
    <row r="9">
      <c r="A9" s="6" t="inlineStr">
        <is>
          <t>C</t>
        </is>
      </c>
      <c r="B9" s="6" t="inlineStr">
        <is>
          <t>Incumbent defense</t>
        </is>
      </c>
      <c r="C9" s="22" t="n">
        <v>218400</v>
      </c>
      <c r="D9" s="22" t="n">
        <v>0</v>
      </c>
      <c r="E9" s="23" t="n">
        <v>0.2222222222222222</v>
      </c>
      <c r="F9" s="23" t="n">
        <v>0.2521367521367521</v>
      </c>
      <c r="G9" s="21" t="n">
        <v>2</v>
      </c>
      <c r="H9" s="21" t="n">
        <v>0</v>
      </c>
      <c r="I9" s="21" t="n">
        <v>4</v>
      </c>
    </row>
    <row r="10">
      <c r="A10" s="6" t="inlineStr">
        <is>
          <t>D</t>
        </is>
      </c>
      <c r="B10" s="6" t="inlineStr">
        <is>
          <t>Max-N per DC</t>
        </is>
      </c>
      <c r="C10" s="22" t="n">
        <v>218400</v>
      </c>
      <c r="D10" s="22" t="n">
        <v>0</v>
      </c>
      <c r="E10" s="23" t="n">
        <v>0.2222222222222222</v>
      </c>
      <c r="F10" s="23" t="n">
        <v>0.2521367521367521</v>
      </c>
      <c r="G10" s="21" t="n">
        <v>2</v>
      </c>
      <c r="H10" s="21" t="n">
        <v>0</v>
      </c>
      <c r="I10" s="21" t="n">
        <v>4</v>
      </c>
    </row>
    <row r="11">
      <c r="A11" s="6" t="inlineStr">
        <is>
          <t>E</t>
        </is>
      </c>
      <c r="B11" s="6" t="inlineStr">
        <is>
          <t>Exclusion applied</t>
        </is>
      </c>
      <c r="C11" s="22" t="n">
        <v>218400</v>
      </c>
      <c r="D11" s="22" t="n">
        <v>0</v>
      </c>
      <c r="E11" s="23" t="n">
        <v>0.2222222222222222</v>
      </c>
      <c r="F11" s="23" t="n">
        <v>0.2521367521367521</v>
      </c>
      <c r="G11" s="21" t="n">
        <v>2</v>
      </c>
      <c r="H11" s="21" t="n">
        <v>0</v>
      </c>
      <c r="I11" s="21" t="n">
        <v>4</v>
      </c>
    </row>
    <row r="12">
      <c r="A12" s="6" t="inlineStr">
        <is>
          <t>F</t>
        </is>
      </c>
      <c r="B12" s="6" t="inlineStr">
        <is>
          <t>Custom override</t>
        </is>
      </c>
      <c r="C12" s="22" t="n">
        <v>218400</v>
      </c>
      <c r="D12" s="22" t="n">
        <v>0</v>
      </c>
      <c r="E12" s="23" t="n">
        <v>0.2222222222222222</v>
      </c>
      <c r="F12" s="23" t="n">
        <v>0.2521367521367521</v>
      </c>
      <c r="G12" s="21" t="n">
        <v>2</v>
      </c>
      <c r="H12" s="21" t="n">
        <v>0</v>
      </c>
      <c r="I12" s="21" t="n">
        <v>4</v>
      </c>
    </row>
    <row r="13">
      <c r="A13" s="6" t="inlineStr">
        <is>
          <t>G</t>
        </is>
      </c>
      <c r="B13" s="6" t="inlineStr">
        <is>
          <t>Preferred supplier</t>
        </is>
      </c>
      <c r="C13" s="22" t="n">
        <v>218400</v>
      </c>
      <c r="D13" s="22" t="n">
        <v>0</v>
      </c>
      <c r="E13" s="23" t="n">
        <v>0.2222222222222222</v>
      </c>
      <c r="F13" s="23" t="n">
        <v>0.2521367521367521</v>
      </c>
      <c r="G13" s="21" t="n">
        <v>2</v>
      </c>
      <c r="H13" s="21" t="n">
        <v>0</v>
      </c>
      <c r="I13" s="21" t="n">
        <v>4</v>
      </c>
    </row>
    <row r="14">
      <c r="A14" s="6" t="inlineStr">
        <is>
          <t>Cust</t>
        </is>
      </c>
      <c r="B14" s="6" t="inlineStr">
        <is>
          <t>Custom build (LIVE — off Custom Scenario tab)</t>
        </is>
      </c>
      <c r="C14" s="22">
        <f>'Custom Scenario'!$K$11</f>
        <v/>
      </c>
      <c r="D14" s="22">
        <f>'Custom Scenario'!$K$11-$C$7</f>
        <v/>
      </c>
      <c r="E14" s="23">
        <f>IF(280800.000000000=0,0,(280800.000000000-'Custom Scenario'!$K$11)/280800.000000000)</f>
        <v/>
      </c>
      <c r="F14" s="23">
        <f>IF(292032.00=0,0,(292032.00-'Custom Scenario'!$K$11)/292032.00)</f>
        <v/>
      </c>
      <c r="G14" s="21">
        <f>SUMPRODUCT(('Custom Scenario'!$E$7:$E$10&lt;&gt;"")/COUNTIF('Custom Scenario'!$E$7:$E$10,'Custom Scenario'!$E$7:$E$10&amp;""))</f>
        <v/>
      </c>
      <c r="H14" s="21" t="inlineStr">
        <is>
          <t>(see Custom tab)</t>
        </is>
      </c>
      <c r="I14" s="21" t="n">
        <v>4</v>
      </c>
    </row>
    <row r="15"/>
    <row r="16">
      <c r="A16" s="1" t="inlineStr">
        <is>
          <t>DRILL-DOWN — expand a scenario (+) to per-DC, then to per-supplier (D27)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28" customHeight="1">
      <c r="A17" s="4" t="inlineStr">
        <is>
          <t>Scenario / DC / Supplier</t>
        </is>
      </c>
      <c r="B17" s="4" t="inlineStr">
        <is>
          <t>Spend</t>
        </is>
      </c>
      <c r="C17" s="4" t="inlineStr">
        <is>
          <t>Volume (cases)</t>
        </is>
      </c>
      <c r="D17" s="4" t="inlineStr">
        <is>
          <t>Savings vs Baseline ($)</t>
        </is>
      </c>
      <c r="E17" s="4" t="inlineStr">
        <is>
          <t># Suppliers / $/case</t>
        </is>
      </c>
      <c r="F17" s="4" t="inlineStr">
        <is>
          <t>Volume share</t>
        </is>
      </c>
      <c r="G17" s="4" t="inlineStr">
        <is>
          <t>Premium vs Baseline</t>
        </is>
      </c>
      <c r="H17" s="4" t="inlineStr">
        <is>
          <t>Flags</t>
        </is>
      </c>
    </row>
    <row r="18" collapsed="1">
      <c r="A18" s="37" t="inlineStr">
        <is>
          <t>Scenario A — Lowest-cost reference</t>
        </is>
      </c>
      <c r="B18" s="38" t="n">
        <v>218400</v>
      </c>
      <c r="C18" s="39" t="n">
        <v>20800</v>
      </c>
      <c r="D18" s="38" t="n">
        <v>62400</v>
      </c>
      <c r="E18" s="38" t="n">
        <v>2</v>
      </c>
      <c r="F18" s="37" t="n"/>
      <c r="G18" s="37" t="n"/>
      <c r="H18" s="37" t="inlineStr"/>
    </row>
    <row r="19" hidden="1" outlineLevel="1" collapsed="1">
      <c r="A19" s="6" t="inlineStr">
        <is>
          <t xml:space="preserve">   Atlanta DC</t>
        </is>
      </c>
      <c r="B19" s="22" t="n">
        <v>109200</v>
      </c>
      <c r="C19" s="21" t="n">
        <v>10400</v>
      </c>
      <c r="D19" s="22" t="n">
        <v>31200</v>
      </c>
      <c r="E19" s="22" t="n">
        <v>2</v>
      </c>
      <c r="F19" s="6" t="n"/>
      <c r="G19" s="6" t="n"/>
      <c r="H19" s="6" t="inlineStr"/>
    </row>
    <row r="20" hidden="1" outlineLevel="2">
      <c r="A20" s="6" t="inlineStr">
        <is>
          <t xml:space="preserve">      Green Valley Farms</t>
        </is>
      </c>
      <c r="B20" s="22" t="n">
        <v>54600</v>
      </c>
      <c r="C20" s="21" t="n">
        <v>5200</v>
      </c>
      <c r="D20" s="22" t="n">
        <v>15600</v>
      </c>
      <c r="E20" s="22" t="n">
        <v>10.5</v>
      </c>
      <c r="F20" s="23" t="n">
        <v>1</v>
      </c>
      <c r="G20" s="23" t="n">
        <v>-0.2222222222222222</v>
      </c>
      <c r="H20" s="6" t="inlineStr">
        <is>
          <t>INCUMBENT</t>
        </is>
      </c>
    </row>
    <row r="21" hidden="1" outlineLevel="2">
      <c r="A21" s="6" t="inlineStr">
        <is>
          <t xml:space="preserve">      Sunbelt Produce</t>
        </is>
      </c>
      <c r="B21" s="22" t="n">
        <v>54600</v>
      </c>
      <c r="C21" s="21" t="n">
        <v>5200</v>
      </c>
      <c r="D21" s="22" t="n">
        <v>15600</v>
      </c>
      <c r="E21" s="22" t="n">
        <v>10.5</v>
      </c>
      <c r="F21" s="23" t="n">
        <v>1</v>
      </c>
      <c r="G21" s="23" t="n">
        <v>-0.2222222222222222</v>
      </c>
      <c r="H21" s="6" t="inlineStr">
        <is>
          <t>—</t>
        </is>
      </c>
    </row>
    <row r="22" hidden="1" outlineLevel="1" collapsed="1">
      <c r="A22" s="6" t="inlineStr">
        <is>
          <t xml:space="preserve">   Dallas DC</t>
        </is>
      </c>
      <c r="B22" s="22" t="n">
        <v>109200</v>
      </c>
      <c r="C22" s="21" t="n">
        <v>10400</v>
      </c>
      <c r="D22" s="22" t="n">
        <v>31200</v>
      </c>
      <c r="E22" s="22" t="n">
        <v>2</v>
      </c>
      <c r="F22" s="6" t="n"/>
      <c r="G22" s="6" t="n"/>
      <c r="H22" s="6" t="inlineStr"/>
    </row>
    <row r="23" hidden="1" outlineLevel="2">
      <c r="A23" s="6" t="inlineStr">
        <is>
          <t xml:space="preserve">      Green Valley Farms</t>
        </is>
      </c>
      <c r="B23" s="22" t="n">
        <v>54600</v>
      </c>
      <c r="C23" s="21" t="n">
        <v>5200</v>
      </c>
      <c r="D23" s="22" t="n">
        <v>15600</v>
      </c>
      <c r="E23" s="22" t="n">
        <v>10.5</v>
      </c>
      <c r="F23" s="23" t="n">
        <v>1</v>
      </c>
      <c r="G23" s="23" t="n">
        <v>-0.2222222222222222</v>
      </c>
      <c r="H23" s="6" t="inlineStr">
        <is>
          <t>INCUMBENT</t>
        </is>
      </c>
    </row>
    <row r="24" hidden="1" outlineLevel="2">
      <c r="A24" s="6" t="inlineStr">
        <is>
          <t xml:space="preserve">      Sunbelt Produce</t>
        </is>
      </c>
      <c r="B24" s="22" t="n">
        <v>54600</v>
      </c>
      <c r="C24" s="21" t="n">
        <v>5200</v>
      </c>
      <c r="D24" s="22" t="n">
        <v>15600</v>
      </c>
      <c r="E24" s="22" t="n">
        <v>10.5</v>
      </c>
      <c r="F24" s="23" t="n">
        <v>1</v>
      </c>
      <c r="G24" s="23" t="n">
        <v>-0.2222222222222222</v>
      </c>
      <c r="H24" s="6" t="inlineStr">
        <is>
          <t>—</t>
        </is>
      </c>
    </row>
    <row r="25" collapsed="1">
      <c r="A25" s="40" t="inlineStr">
        <is>
          <t>Scenario B — Risk-adjusted recommendation</t>
        </is>
      </c>
      <c r="B25" s="41" t="n">
        <v>218400</v>
      </c>
      <c r="C25" s="42" t="n">
        <v>20800</v>
      </c>
      <c r="D25" s="41" t="n">
        <v>62400</v>
      </c>
      <c r="E25" s="41" t="n">
        <v>2</v>
      </c>
      <c r="F25" s="40" t="n"/>
      <c r="G25" s="40" t="n"/>
      <c r="H25" s="40" t="inlineStr"/>
    </row>
    <row r="26" hidden="1" outlineLevel="1" collapsed="1">
      <c r="A26" s="6" t="inlineStr">
        <is>
          <t xml:space="preserve">   Atlanta DC</t>
        </is>
      </c>
      <c r="B26" s="22" t="n">
        <v>109200</v>
      </c>
      <c r="C26" s="21" t="n">
        <v>10400</v>
      </c>
      <c r="D26" s="22" t="n">
        <v>31200</v>
      </c>
      <c r="E26" s="22" t="n">
        <v>2</v>
      </c>
      <c r="F26" s="6" t="n"/>
      <c r="G26" s="6" t="n"/>
      <c r="H26" s="6" t="inlineStr"/>
    </row>
    <row r="27" hidden="1" outlineLevel="2">
      <c r="A27" s="6" t="inlineStr">
        <is>
          <t xml:space="preserve">      Green Valley Farms</t>
        </is>
      </c>
      <c r="B27" s="22" t="n">
        <v>54600</v>
      </c>
      <c r="C27" s="21" t="n">
        <v>5200</v>
      </c>
      <c r="D27" s="22" t="n">
        <v>15600</v>
      </c>
      <c r="E27" s="22" t="n">
        <v>10.5</v>
      </c>
      <c r="F27" s="23" t="n">
        <v>1</v>
      </c>
      <c r="G27" s="23" t="n">
        <v>-0.2222222222222222</v>
      </c>
      <c r="H27" s="6" t="inlineStr">
        <is>
          <t>INCUMBENT</t>
        </is>
      </c>
    </row>
    <row r="28" hidden="1" outlineLevel="2">
      <c r="A28" s="6" t="inlineStr">
        <is>
          <t xml:space="preserve">      Sunbelt Produce</t>
        </is>
      </c>
      <c r="B28" s="22" t="n">
        <v>54600</v>
      </c>
      <c r="C28" s="21" t="n">
        <v>5200</v>
      </c>
      <c r="D28" s="22" t="n">
        <v>15600</v>
      </c>
      <c r="E28" s="22" t="n">
        <v>10.5</v>
      </c>
      <c r="F28" s="23" t="n">
        <v>1</v>
      </c>
      <c r="G28" s="23" t="n">
        <v>-0.2222222222222222</v>
      </c>
      <c r="H28" s="6" t="inlineStr">
        <is>
          <t>—</t>
        </is>
      </c>
    </row>
    <row r="29" hidden="1" outlineLevel="1" collapsed="1">
      <c r="A29" s="6" t="inlineStr">
        <is>
          <t xml:space="preserve">   Dallas DC</t>
        </is>
      </c>
      <c r="B29" s="22" t="n">
        <v>109200</v>
      </c>
      <c r="C29" s="21" t="n">
        <v>10400</v>
      </c>
      <c r="D29" s="22" t="n">
        <v>31200</v>
      </c>
      <c r="E29" s="22" t="n">
        <v>2</v>
      </c>
      <c r="F29" s="6" t="n"/>
      <c r="G29" s="6" t="n"/>
      <c r="H29" s="6" t="inlineStr"/>
    </row>
    <row r="30" hidden="1" outlineLevel="2">
      <c r="A30" s="6" t="inlineStr">
        <is>
          <t xml:space="preserve">      Green Valley Farms</t>
        </is>
      </c>
      <c r="B30" s="22" t="n">
        <v>54600</v>
      </c>
      <c r="C30" s="21" t="n">
        <v>5200</v>
      </c>
      <c r="D30" s="22" t="n">
        <v>15600</v>
      </c>
      <c r="E30" s="22" t="n">
        <v>10.5</v>
      </c>
      <c r="F30" s="23" t="n">
        <v>1</v>
      </c>
      <c r="G30" s="23" t="n">
        <v>-0.2222222222222222</v>
      </c>
      <c r="H30" s="6" t="inlineStr">
        <is>
          <t>INCUMBENT</t>
        </is>
      </c>
    </row>
    <row r="31" hidden="1" outlineLevel="2">
      <c r="A31" s="6" t="inlineStr">
        <is>
          <t xml:space="preserve">      Sunbelt Produce</t>
        </is>
      </c>
      <c r="B31" s="22" t="n">
        <v>54600</v>
      </c>
      <c r="C31" s="21" t="n">
        <v>5200</v>
      </c>
      <c r="D31" s="22" t="n">
        <v>15600</v>
      </c>
      <c r="E31" s="22" t="n">
        <v>10.5</v>
      </c>
      <c r="F31" s="23" t="n">
        <v>1</v>
      </c>
      <c r="G31" s="23" t="n">
        <v>-0.2222222222222222</v>
      </c>
      <c r="H31" s="6" t="inlineStr">
        <is>
          <t>—</t>
        </is>
      </c>
    </row>
    <row r="32" collapsed="1">
      <c r="A32" s="25" t="inlineStr">
        <is>
          <t>Scenario C — Incumbent defense</t>
        </is>
      </c>
      <c r="B32" s="27" t="n">
        <v>218400</v>
      </c>
      <c r="C32" s="26" t="n">
        <v>20800</v>
      </c>
      <c r="D32" s="27" t="n">
        <v>62400</v>
      </c>
      <c r="E32" s="27" t="n">
        <v>2</v>
      </c>
      <c r="F32" s="25" t="n"/>
      <c r="G32" s="25" t="n"/>
      <c r="H32" s="25" t="inlineStr"/>
    </row>
    <row r="33" hidden="1" outlineLevel="1" collapsed="1">
      <c r="A33" s="6" t="inlineStr">
        <is>
          <t xml:space="preserve">   Atlanta DC</t>
        </is>
      </c>
      <c r="B33" s="22" t="n">
        <v>109200</v>
      </c>
      <c r="C33" s="21" t="n">
        <v>10400</v>
      </c>
      <c r="D33" s="22" t="n">
        <v>31200</v>
      </c>
      <c r="E33" s="22" t="n">
        <v>2</v>
      </c>
      <c r="F33" s="6" t="n"/>
      <c r="G33" s="6" t="n"/>
      <c r="H33" s="6" t="inlineStr"/>
    </row>
    <row r="34" hidden="1" outlineLevel="2">
      <c r="A34" s="6" t="inlineStr">
        <is>
          <t xml:space="preserve">      Green Valley Farms</t>
        </is>
      </c>
      <c r="B34" s="22" t="n">
        <v>54600</v>
      </c>
      <c r="C34" s="21" t="n">
        <v>5200</v>
      </c>
      <c r="D34" s="22" t="n">
        <v>15600</v>
      </c>
      <c r="E34" s="22" t="n">
        <v>10.5</v>
      </c>
      <c r="F34" s="23" t="n">
        <v>1</v>
      </c>
      <c r="G34" s="23" t="n">
        <v>-0.2222222222222222</v>
      </c>
      <c r="H34" s="6" t="inlineStr">
        <is>
          <t>INCUMBENT</t>
        </is>
      </c>
    </row>
    <row r="35" hidden="1" outlineLevel="2">
      <c r="A35" s="6" t="inlineStr">
        <is>
          <t xml:space="preserve">      Sunbelt Produce</t>
        </is>
      </c>
      <c r="B35" s="22" t="n">
        <v>54600</v>
      </c>
      <c r="C35" s="21" t="n">
        <v>5200</v>
      </c>
      <c r="D35" s="22" t="n">
        <v>15600</v>
      </c>
      <c r="E35" s="22" t="n">
        <v>10.5</v>
      </c>
      <c r="F35" s="23" t="n">
        <v>1</v>
      </c>
      <c r="G35" s="23" t="n">
        <v>-0.2222222222222222</v>
      </c>
      <c r="H35" s="6" t="inlineStr">
        <is>
          <t>—</t>
        </is>
      </c>
    </row>
    <row r="36" hidden="1" outlineLevel="1" collapsed="1">
      <c r="A36" s="6" t="inlineStr">
        <is>
          <t xml:space="preserve">   Dallas DC</t>
        </is>
      </c>
      <c r="B36" s="22" t="n">
        <v>109200</v>
      </c>
      <c r="C36" s="21" t="n">
        <v>10400</v>
      </c>
      <c r="D36" s="22" t="n">
        <v>31200</v>
      </c>
      <c r="E36" s="22" t="n">
        <v>2</v>
      </c>
      <c r="F36" s="6" t="n"/>
      <c r="G36" s="6" t="n"/>
      <c r="H36" s="6" t="inlineStr"/>
    </row>
    <row r="37" hidden="1" outlineLevel="2">
      <c r="A37" s="6" t="inlineStr">
        <is>
          <t xml:space="preserve">      Green Valley Farms</t>
        </is>
      </c>
      <c r="B37" s="22" t="n">
        <v>54600</v>
      </c>
      <c r="C37" s="21" t="n">
        <v>5200</v>
      </c>
      <c r="D37" s="22" t="n">
        <v>15600</v>
      </c>
      <c r="E37" s="22" t="n">
        <v>10.5</v>
      </c>
      <c r="F37" s="23" t="n">
        <v>1</v>
      </c>
      <c r="G37" s="23" t="n">
        <v>-0.2222222222222222</v>
      </c>
      <c r="H37" s="6" t="inlineStr">
        <is>
          <t>INCUMBENT</t>
        </is>
      </c>
    </row>
    <row r="38" hidden="1" outlineLevel="2">
      <c r="A38" s="6" t="inlineStr">
        <is>
          <t xml:space="preserve">      Sunbelt Produce</t>
        </is>
      </c>
      <c r="B38" s="22" t="n">
        <v>54600</v>
      </c>
      <c r="C38" s="21" t="n">
        <v>5200</v>
      </c>
      <c r="D38" s="22" t="n">
        <v>15600</v>
      </c>
      <c r="E38" s="22" t="n">
        <v>10.5</v>
      </c>
      <c r="F38" s="23" t="n">
        <v>1</v>
      </c>
      <c r="G38" s="23" t="n">
        <v>-0.2222222222222222</v>
      </c>
      <c r="H38" s="6" t="inlineStr">
        <is>
          <t>—</t>
        </is>
      </c>
    </row>
    <row r="39" collapsed="1">
      <c r="A39" s="25" t="inlineStr">
        <is>
          <t>Scenario D — Max-N per DC</t>
        </is>
      </c>
      <c r="B39" s="27" t="n">
        <v>218400</v>
      </c>
      <c r="C39" s="26" t="n">
        <v>20800</v>
      </c>
      <c r="D39" s="27" t="n">
        <v>62400</v>
      </c>
      <c r="E39" s="27" t="n">
        <v>2</v>
      </c>
      <c r="F39" s="25" t="n"/>
      <c r="G39" s="25" t="n"/>
      <c r="H39" s="25" t="inlineStr"/>
    </row>
    <row r="40" hidden="1" outlineLevel="1" collapsed="1">
      <c r="A40" s="6" t="inlineStr">
        <is>
          <t xml:space="preserve">   Atlanta DC</t>
        </is>
      </c>
      <c r="B40" s="22" t="n">
        <v>109200</v>
      </c>
      <c r="C40" s="21" t="n">
        <v>10400</v>
      </c>
      <c r="D40" s="22" t="n">
        <v>31200</v>
      </c>
      <c r="E40" s="22" t="n">
        <v>2</v>
      </c>
      <c r="F40" s="6" t="n"/>
      <c r="G40" s="6" t="n"/>
      <c r="H40" s="6" t="inlineStr"/>
    </row>
    <row r="41" hidden="1" outlineLevel="2">
      <c r="A41" s="6" t="inlineStr">
        <is>
          <t xml:space="preserve">      Green Valley Farms</t>
        </is>
      </c>
      <c r="B41" s="22" t="n">
        <v>54600</v>
      </c>
      <c r="C41" s="21" t="n">
        <v>5200</v>
      </c>
      <c r="D41" s="22" t="n">
        <v>15600</v>
      </c>
      <c r="E41" s="22" t="n">
        <v>10.5</v>
      </c>
      <c r="F41" s="23" t="n">
        <v>1</v>
      </c>
      <c r="G41" s="23" t="n">
        <v>-0.2222222222222222</v>
      </c>
      <c r="H41" s="6" t="inlineStr">
        <is>
          <t>INCUMBENT</t>
        </is>
      </c>
    </row>
    <row r="42" hidden="1" outlineLevel="2">
      <c r="A42" s="6" t="inlineStr">
        <is>
          <t xml:space="preserve">      Sunbelt Produce</t>
        </is>
      </c>
      <c r="B42" s="22" t="n">
        <v>54600</v>
      </c>
      <c r="C42" s="21" t="n">
        <v>5200</v>
      </c>
      <c r="D42" s="22" t="n">
        <v>15600</v>
      </c>
      <c r="E42" s="22" t="n">
        <v>10.5</v>
      </c>
      <c r="F42" s="23" t="n">
        <v>1</v>
      </c>
      <c r="G42" s="23" t="n">
        <v>-0.2222222222222222</v>
      </c>
      <c r="H42" s="6" t="inlineStr">
        <is>
          <t>—</t>
        </is>
      </c>
    </row>
    <row r="43" hidden="1" outlineLevel="1" collapsed="1">
      <c r="A43" s="6" t="inlineStr">
        <is>
          <t xml:space="preserve">   Dallas DC</t>
        </is>
      </c>
      <c r="B43" s="22" t="n">
        <v>109200</v>
      </c>
      <c r="C43" s="21" t="n">
        <v>10400</v>
      </c>
      <c r="D43" s="22" t="n">
        <v>31200</v>
      </c>
      <c r="E43" s="22" t="n">
        <v>2</v>
      </c>
      <c r="F43" s="6" t="n"/>
      <c r="G43" s="6" t="n"/>
      <c r="H43" s="6" t="inlineStr"/>
    </row>
    <row r="44" hidden="1" outlineLevel="2">
      <c r="A44" s="6" t="inlineStr">
        <is>
          <t xml:space="preserve">      Green Valley Farms</t>
        </is>
      </c>
      <c r="B44" s="22" t="n">
        <v>54600</v>
      </c>
      <c r="C44" s="21" t="n">
        <v>5200</v>
      </c>
      <c r="D44" s="22" t="n">
        <v>15600</v>
      </c>
      <c r="E44" s="22" t="n">
        <v>10.5</v>
      </c>
      <c r="F44" s="23" t="n">
        <v>1</v>
      </c>
      <c r="G44" s="23" t="n">
        <v>-0.2222222222222222</v>
      </c>
      <c r="H44" s="6" t="inlineStr">
        <is>
          <t>INCUMBENT</t>
        </is>
      </c>
    </row>
    <row r="45" hidden="1" outlineLevel="2">
      <c r="A45" s="6" t="inlineStr">
        <is>
          <t xml:space="preserve">      Sunbelt Produce</t>
        </is>
      </c>
      <c r="B45" s="22" t="n">
        <v>54600</v>
      </c>
      <c r="C45" s="21" t="n">
        <v>5200</v>
      </c>
      <c r="D45" s="22" t="n">
        <v>15600</v>
      </c>
      <c r="E45" s="22" t="n">
        <v>10.5</v>
      </c>
      <c r="F45" s="23" t="n">
        <v>1</v>
      </c>
      <c r="G45" s="23" t="n">
        <v>-0.2222222222222222</v>
      </c>
      <c r="H45" s="6" t="inlineStr">
        <is>
          <t>—</t>
        </is>
      </c>
    </row>
    <row r="46" collapsed="1">
      <c r="A46" s="25" t="inlineStr">
        <is>
          <t>Scenario E — Exclusion applied</t>
        </is>
      </c>
      <c r="B46" s="27" t="n">
        <v>218400</v>
      </c>
      <c r="C46" s="26" t="n">
        <v>20800</v>
      </c>
      <c r="D46" s="27" t="n">
        <v>62400</v>
      </c>
      <c r="E46" s="27" t="n">
        <v>2</v>
      </c>
      <c r="F46" s="25" t="n"/>
      <c r="G46" s="25" t="n"/>
      <c r="H46" s="25" t="inlineStr"/>
    </row>
    <row r="47" hidden="1" outlineLevel="1" collapsed="1">
      <c r="A47" s="6" t="inlineStr">
        <is>
          <t xml:space="preserve">   Atlanta DC</t>
        </is>
      </c>
      <c r="B47" s="22" t="n">
        <v>109200</v>
      </c>
      <c r="C47" s="21" t="n">
        <v>10400</v>
      </c>
      <c r="D47" s="22" t="n">
        <v>31200</v>
      </c>
      <c r="E47" s="22" t="n">
        <v>2</v>
      </c>
      <c r="F47" s="6" t="n"/>
      <c r="G47" s="6" t="n"/>
      <c r="H47" s="6" t="inlineStr"/>
    </row>
    <row r="48" hidden="1" outlineLevel="2">
      <c r="A48" s="6" t="inlineStr">
        <is>
          <t xml:space="preserve">      Green Valley Farms</t>
        </is>
      </c>
      <c r="B48" s="22" t="n">
        <v>54600</v>
      </c>
      <c r="C48" s="21" t="n">
        <v>5200</v>
      </c>
      <c r="D48" s="22" t="n">
        <v>15600</v>
      </c>
      <c r="E48" s="22" t="n">
        <v>10.5</v>
      </c>
      <c r="F48" s="23" t="n">
        <v>1</v>
      </c>
      <c r="G48" s="23" t="n">
        <v>-0.2222222222222222</v>
      </c>
      <c r="H48" s="6" t="inlineStr">
        <is>
          <t>INCUMBENT</t>
        </is>
      </c>
    </row>
    <row r="49" hidden="1" outlineLevel="2">
      <c r="A49" s="6" t="inlineStr">
        <is>
          <t xml:space="preserve">      Sunbelt Produce</t>
        </is>
      </c>
      <c r="B49" s="22" t="n">
        <v>54600</v>
      </c>
      <c r="C49" s="21" t="n">
        <v>5200</v>
      </c>
      <c r="D49" s="22" t="n">
        <v>15600</v>
      </c>
      <c r="E49" s="22" t="n">
        <v>10.5</v>
      </c>
      <c r="F49" s="23" t="n">
        <v>1</v>
      </c>
      <c r="G49" s="23" t="n">
        <v>-0.2222222222222222</v>
      </c>
      <c r="H49" s="6" t="inlineStr">
        <is>
          <t>—</t>
        </is>
      </c>
    </row>
    <row r="50" hidden="1" outlineLevel="1" collapsed="1">
      <c r="A50" s="6" t="inlineStr">
        <is>
          <t xml:space="preserve">   Dallas DC</t>
        </is>
      </c>
      <c r="B50" s="22" t="n">
        <v>109200</v>
      </c>
      <c r="C50" s="21" t="n">
        <v>10400</v>
      </c>
      <c r="D50" s="22" t="n">
        <v>31200</v>
      </c>
      <c r="E50" s="22" t="n">
        <v>2</v>
      </c>
      <c r="F50" s="6" t="n"/>
      <c r="G50" s="6" t="n"/>
      <c r="H50" s="6" t="inlineStr"/>
    </row>
    <row r="51" hidden="1" outlineLevel="2">
      <c r="A51" s="6" t="inlineStr">
        <is>
          <t xml:space="preserve">      Green Valley Farms</t>
        </is>
      </c>
      <c r="B51" s="22" t="n">
        <v>54600</v>
      </c>
      <c r="C51" s="21" t="n">
        <v>5200</v>
      </c>
      <c r="D51" s="22" t="n">
        <v>15600</v>
      </c>
      <c r="E51" s="22" t="n">
        <v>10.5</v>
      </c>
      <c r="F51" s="23" t="n">
        <v>1</v>
      </c>
      <c r="G51" s="23" t="n">
        <v>-0.2222222222222222</v>
      </c>
      <c r="H51" s="6" t="inlineStr">
        <is>
          <t>INCUMBENT</t>
        </is>
      </c>
    </row>
    <row r="52" hidden="1" outlineLevel="2">
      <c r="A52" s="6" t="inlineStr">
        <is>
          <t xml:space="preserve">      Sunbelt Produce</t>
        </is>
      </c>
      <c r="B52" s="22" t="n">
        <v>54600</v>
      </c>
      <c r="C52" s="21" t="n">
        <v>5200</v>
      </c>
      <c r="D52" s="22" t="n">
        <v>15600</v>
      </c>
      <c r="E52" s="22" t="n">
        <v>10.5</v>
      </c>
      <c r="F52" s="23" t="n">
        <v>1</v>
      </c>
      <c r="G52" s="23" t="n">
        <v>-0.2222222222222222</v>
      </c>
      <c r="H52" s="6" t="inlineStr">
        <is>
          <t>—</t>
        </is>
      </c>
    </row>
    <row r="53" collapsed="1">
      <c r="A53" s="25" t="inlineStr">
        <is>
          <t>Scenario F — Custom override</t>
        </is>
      </c>
      <c r="B53" s="27" t="n">
        <v>218400</v>
      </c>
      <c r="C53" s="26" t="n">
        <v>20800</v>
      </c>
      <c r="D53" s="27" t="n">
        <v>62400</v>
      </c>
      <c r="E53" s="27" t="n">
        <v>2</v>
      </c>
      <c r="F53" s="25" t="n"/>
      <c r="G53" s="25" t="n"/>
      <c r="H53" s="25" t="inlineStr"/>
    </row>
    <row r="54" hidden="1" outlineLevel="1" collapsed="1">
      <c r="A54" s="6" t="inlineStr">
        <is>
          <t xml:space="preserve">   Atlanta DC</t>
        </is>
      </c>
      <c r="B54" s="22" t="n">
        <v>109200</v>
      </c>
      <c r="C54" s="21" t="n">
        <v>10400</v>
      </c>
      <c r="D54" s="22" t="n">
        <v>31200</v>
      </c>
      <c r="E54" s="22" t="n">
        <v>2</v>
      </c>
      <c r="F54" s="6" t="n"/>
      <c r="G54" s="6" t="n"/>
      <c r="H54" s="6" t="inlineStr"/>
    </row>
    <row r="55" hidden="1" outlineLevel="2">
      <c r="A55" s="6" t="inlineStr">
        <is>
          <t xml:space="preserve">      Green Valley Farms</t>
        </is>
      </c>
      <c r="B55" s="22" t="n">
        <v>54600</v>
      </c>
      <c r="C55" s="21" t="n">
        <v>5200</v>
      </c>
      <c r="D55" s="22" t="n">
        <v>15600</v>
      </c>
      <c r="E55" s="22" t="n">
        <v>10.5</v>
      </c>
      <c r="F55" s="23" t="n">
        <v>1</v>
      </c>
      <c r="G55" s="23" t="n">
        <v>-0.2222222222222222</v>
      </c>
      <c r="H55" s="6" t="inlineStr">
        <is>
          <t>INCUMBENT</t>
        </is>
      </c>
    </row>
    <row r="56" hidden="1" outlineLevel="2">
      <c r="A56" s="6" t="inlineStr">
        <is>
          <t xml:space="preserve">      Sunbelt Produce</t>
        </is>
      </c>
      <c r="B56" s="22" t="n">
        <v>54600</v>
      </c>
      <c r="C56" s="21" t="n">
        <v>5200</v>
      </c>
      <c r="D56" s="22" t="n">
        <v>15600</v>
      </c>
      <c r="E56" s="22" t="n">
        <v>10.5</v>
      </c>
      <c r="F56" s="23" t="n">
        <v>1</v>
      </c>
      <c r="G56" s="23" t="n">
        <v>-0.2222222222222222</v>
      </c>
      <c r="H56" s="6" t="inlineStr">
        <is>
          <t>—</t>
        </is>
      </c>
    </row>
    <row r="57" hidden="1" outlineLevel="1" collapsed="1">
      <c r="A57" s="6" t="inlineStr">
        <is>
          <t xml:space="preserve">   Dallas DC</t>
        </is>
      </c>
      <c r="B57" s="22" t="n">
        <v>109200</v>
      </c>
      <c r="C57" s="21" t="n">
        <v>10400</v>
      </c>
      <c r="D57" s="22" t="n">
        <v>31200</v>
      </c>
      <c r="E57" s="22" t="n">
        <v>2</v>
      </c>
      <c r="F57" s="6" t="n"/>
      <c r="G57" s="6" t="n"/>
      <c r="H57" s="6" t="inlineStr"/>
    </row>
    <row r="58" hidden="1" outlineLevel="2">
      <c r="A58" s="6" t="inlineStr">
        <is>
          <t xml:space="preserve">      Green Valley Farms</t>
        </is>
      </c>
      <c r="B58" s="22" t="n">
        <v>54600</v>
      </c>
      <c r="C58" s="21" t="n">
        <v>5200</v>
      </c>
      <c r="D58" s="22" t="n">
        <v>15600</v>
      </c>
      <c r="E58" s="22" t="n">
        <v>10.5</v>
      </c>
      <c r="F58" s="23" t="n">
        <v>1</v>
      </c>
      <c r="G58" s="23" t="n">
        <v>-0.2222222222222222</v>
      </c>
      <c r="H58" s="6" t="inlineStr">
        <is>
          <t>INCUMBENT</t>
        </is>
      </c>
    </row>
    <row r="59" hidden="1" outlineLevel="2">
      <c r="A59" s="6" t="inlineStr">
        <is>
          <t xml:space="preserve">      Sunbelt Produce</t>
        </is>
      </c>
      <c r="B59" s="22" t="n">
        <v>54600</v>
      </c>
      <c r="C59" s="21" t="n">
        <v>5200</v>
      </c>
      <c r="D59" s="22" t="n">
        <v>15600</v>
      </c>
      <c r="E59" s="22" t="n">
        <v>10.5</v>
      </c>
      <c r="F59" s="23" t="n">
        <v>1</v>
      </c>
      <c r="G59" s="23" t="n">
        <v>-0.2222222222222222</v>
      </c>
      <c r="H59" s="6" t="inlineStr">
        <is>
          <t>—</t>
        </is>
      </c>
    </row>
    <row r="60" collapsed="1">
      <c r="A60" s="25" t="inlineStr">
        <is>
          <t>Scenario G — Preferred supplier</t>
        </is>
      </c>
      <c r="B60" s="27" t="n">
        <v>218400</v>
      </c>
      <c r="C60" s="26" t="n">
        <v>20800</v>
      </c>
      <c r="D60" s="27" t="n">
        <v>62400</v>
      </c>
      <c r="E60" s="27" t="n">
        <v>2</v>
      </c>
      <c r="F60" s="25" t="n"/>
      <c r="G60" s="25" t="n"/>
      <c r="H60" s="25" t="inlineStr"/>
    </row>
    <row r="61" hidden="1" outlineLevel="1" collapsed="1">
      <c r="A61" s="6" t="inlineStr">
        <is>
          <t xml:space="preserve">   Atlanta DC</t>
        </is>
      </c>
      <c r="B61" s="22" t="n">
        <v>109200</v>
      </c>
      <c r="C61" s="21" t="n">
        <v>10400</v>
      </c>
      <c r="D61" s="22" t="n">
        <v>31200</v>
      </c>
      <c r="E61" s="22" t="n">
        <v>2</v>
      </c>
      <c r="F61" s="6" t="n"/>
      <c r="G61" s="6" t="n"/>
      <c r="H61" s="6" t="inlineStr"/>
    </row>
    <row r="62" hidden="1" outlineLevel="2">
      <c r="A62" s="6" t="inlineStr">
        <is>
          <t xml:space="preserve">      Green Valley Farms</t>
        </is>
      </c>
      <c r="B62" s="22" t="n">
        <v>54600</v>
      </c>
      <c r="C62" s="21" t="n">
        <v>5200</v>
      </c>
      <c r="D62" s="22" t="n">
        <v>15600</v>
      </c>
      <c r="E62" s="22" t="n">
        <v>10.5</v>
      </c>
      <c r="F62" s="23" t="n">
        <v>1</v>
      </c>
      <c r="G62" s="23" t="n">
        <v>-0.2222222222222222</v>
      </c>
      <c r="H62" s="6" t="inlineStr">
        <is>
          <t>INCUMBENT</t>
        </is>
      </c>
    </row>
    <row r="63" hidden="1" outlineLevel="2">
      <c r="A63" s="6" t="inlineStr">
        <is>
          <t xml:space="preserve">      Sunbelt Produce</t>
        </is>
      </c>
      <c r="B63" s="22" t="n">
        <v>54600</v>
      </c>
      <c r="C63" s="21" t="n">
        <v>5200</v>
      </c>
      <c r="D63" s="22" t="n">
        <v>15600</v>
      </c>
      <c r="E63" s="22" t="n">
        <v>10.5</v>
      </c>
      <c r="F63" s="23" t="n">
        <v>1</v>
      </c>
      <c r="G63" s="23" t="n">
        <v>-0.2222222222222222</v>
      </c>
      <c r="H63" s="6" t="inlineStr">
        <is>
          <t>—</t>
        </is>
      </c>
    </row>
    <row r="64" hidden="1" outlineLevel="1" collapsed="1">
      <c r="A64" s="6" t="inlineStr">
        <is>
          <t xml:space="preserve">   Dallas DC</t>
        </is>
      </c>
      <c r="B64" s="22" t="n">
        <v>109200</v>
      </c>
      <c r="C64" s="21" t="n">
        <v>10400</v>
      </c>
      <c r="D64" s="22" t="n">
        <v>31200</v>
      </c>
      <c r="E64" s="22" t="n">
        <v>2</v>
      </c>
      <c r="F64" s="6" t="n"/>
      <c r="G64" s="6" t="n"/>
      <c r="H64" s="6" t="inlineStr"/>
    </row>
    <row r="65" hidden="1" outlineLevel="2">
      <c r="A65" s="6" t="inlineStr">
        <is>
          <t xml:space="preserve">      Green Valley Farms</t>
        </is>
      </c>
      <c r="B65" s="22" t="n">
        <v>54600</v>
      </c>
      <c r="C65" s="21" t="n">
        <v>5200</v>
      </c>
      <c r="D65" s="22" t="n">
        <v>15600</v>
      </c>
      <c r="E65" s="22" t="n">
        <v>10.5</v>
      </c>
      <c r="F65" s="23" t="n">
        <v>1</v>
      </c>
      <c r="G65" s="23" t="n">
        <v>-0.2222222222222222</v>
      </c>
      <c r="H65" s="6" t="inlineStr">
        <is>
          <t>INCUMBENT</t>
        </is>
      </c>
    </row>
    <row r="66" hidden="1" outlineLevel="2">
      <c r="A66" s="6" t="inlineStr">
        <is>
          <t xml:space="preserve">      Sunbelt Produce</t>
        </is>
      </c>
      <c r="B66" s="22" t="n">
        <v>54600</v>
      </c>
      <c r="C66" s="21" t="n">
        <v>5200</v>
      </c>
      <c r="D66" s="22" t="n">
        <v>15600</v>
      </c>
      <c r="E66" s="22" t="n">
        <v>10.5</v>
      </c>
      <c r="F66" s="23" t="n">
        <v>1</v>
      </c>
      <c r="G66" s="23" t="n">
        <v>-0.2222222222222222</v>
      </c>
      <c r="H66" s="6" t="inlineStr">
        <is>
          <t>—</t>
        </is>
      </c>
    </row>
    <row r="67" collapsed="1">
      <c r="A67" s="43" t="inlineStr">
        <is>
          <t>Custom (LIVE — off Custom Scenario tab)</t>
        </is>
      </c>
      <c r="B67" s="43">
        <f>'Custom Scenario'!$K$11</f>
        <v/>
      </c>
      <c r="C67" s="43">
        <f>SUM('Custom Scenario'!$J$7:$J$10)</f>
        <v/>
      </c>
      <c r="D67" s="43">
        <f>SUMPRODUCT(('Custom Scenario'!$L$7:$L$10-'Custom Scenario'!$F$7:$F$10)*'Custom Scenario'!$J$7:$J$10)</f>
        <v/>
      </c>
      <c r="E67" s="43">
        <f>SUMPRODUCT(('Custom Scenario'!$E$7:$E$10&lt;&gt;"")/COUNTIF('Custom Scenario'!$E$7:$E$10,'Custom Scenario'!$E$7:$E$10&amp;""))</f>
        <v/>
      </c>
      <c r="F67" s="43" t="n"/>
      <c r="G67" s="43" t="n"/>
      <c r="H67" s="43" t="inlineStr">
        <is>
          <t>live</t>
        </is>
      </c>
    </row>
    <row r="68" hidden="1" outlineLevel="1" collapsed="1">
      <c r="A68" s="6" t="inlineStr">
        <is>
          <t xml:space="preserve">   Atlanta DC</t>
        </is>
      </c>
      <c r="B68" s="6">
        <f>SUMIFS('Custom Scenario'!$K$7:$K$10,'Custom Scenario'!$A$7:$A$10,"Atlanta DC")</f>
        <v/>
      </c>
      <c r="C68" s="6">
        <f>SUMIFS('Custom Scenario'!$J$7:$J$10,'Custom Scenario'!$A$7:$A$10,"Atlanta DC")</f>
        <v/>
      </c>
      <c r="D68" s="6" t="n"/>
      <c r="E68" s="6">
        <f>SUMPRODUCT(('Custom Scenario'!$A$7:$A$10="Atlanta DC")/COUNTIFS('Custom Scenario'!$A$7:$A$10,'Custom Scenario'!$A$7:$A$10,'Custom Scenario'!$E$7:$E$10,'Custom Scenario'!$E$7:$E$10))</f>
        <v/>
      </c>
      <c r="F68" s="6" t="n"/>
      <c r="G68" s="6" t="n"/>
      <c r="H68" s="6" t="inlineStr">
        <is>
          <t>live</t>
        </is>
      </c>
    </row>
    <row r="69" hidden="1" outlineLevel="2">
      <c r="A69" s="6" t="inlineStr">
        <is>
          <t xml:space="preserve">      Green Valley Farms</t>
        </is>
      </c>
      <c r="B69" s="6">
        <f>SUMIFS('Custom Scenario'!$K$7:$K$10,'Custom Scenario'!$A$7:$A$10,"Atlanta DC",'Custom Scenario'!$E$7:$E$10,"Green Valley Farms")</f>
        <v/>
      </c>
      <c r="C69" s="6">
        <f>SUMIFS('Custom Scenario'!$J$7:$J$10,'Custom Scenario'!$A$7:$A$10,"Atlanta DC",'Custom Scenario'!$E$7:$E$10,"Green Valley Farms")</f>
        <v/>
      </c>
      <c r="D69" s="6" t="n"/>
      <c r="E69" s="6" t="n"/>
      <c r="F69" s="6" t="n"/>
      <c r="G69" s="6" t="n"/>
      <c r="H69" s="6" t="inlineStr">
        <is>
          <t>live (0 if not picked)</t>
        </is>
      </c>
    </row>
    <row r="70" hidden="1" outlineLevel="2">
      <c r="A70" s="6" t="inlineStr">
        <is>
          <t xml:space="preserve">      Sunbelt Produce</t>
        </is>
      </c>
      <c r="B70" s="6">
        <f>SUMIFS('Custom Scenario'!$K$7:$K$10,'Custom Scenario'!$A$7:$A$10,"Atlanta DC",'Custom Scenario'!$E$7:$E$10,"Sunbelt Produce")</f>
        <v/>
      </c>
      <c r="C70" s="6">
        <f>SUMIFS('Custom Scenario'!$J$7:$J$10,'Custom Scenario'!$A$7:$A$10,"Atlanta DC",'Custom Scenario'!$E$7:$E$10,"Sunbelt Produce")</f>
        <v/>
      </c>
      <c r="D70" s="6" t="n"/>
      <c r="E70" s="6" t="n"/>
      <c r="F70" s="6" t="n"/>
      <c r="G70" s="6" t="n"/>
      <c r="H70" s="6" t="inlineStr">
        <is>
          <t>live (0 if not picked)</t>
        </is>
      </c>
    </row>
    <row r="71" hidden="1" outlineLevel="1" collapsed="1">
      <c r="A71" s="6" t="inlineStr">
        <is>
          <t xml:space="preserve">   Dallas DC</t>
        </is>
      </c>
      <c r="B71" s="6">
        <f>SUMIFS('Custom Scenario'!$K$7:$K$10,'Custom Scenario'!$A$7:$A$10,"Dallas DC")</f>
        <v/>
      </c>
      <c r="C71" s="6">
        <f>SUMIFS('Custom Scenario'!$J$7:$J$10,'Custom Scenario'!$A$7:$A$10,"Dallas DC")</f>
        <v/>
      </c>
      <c r="D71" s="6" t="n"/>
      <c r="E71" s="6">
        <f>SUMPRODUCT(('Custom Scenario'!$A$7:$A$10="Dallas DC")/COUNTIFS('Custom Scenario'!$A$7:$A$10,'Custom Scenario'!$A$7:$A$10,'Custom Scenario'!$E$7:$E$10,'Custom Scenario'!$E$7:$E$10))</f>
        <v/>
      </c>
      <c r="F71" s="6" t="n"/>
      <c r="G71" s="6" t="n"/>
      <c r="H71" s="6" t="inlineStr">
        <is>
          <t>live</t>
        </is>
      </c>
    </row>
    <row r="72" hidden="1" outlineLevel="2">
      <c r="A72" s="6" t="inlineStr">
        <is>
          <t xml:space="preserve">      Green Valley Farms</t>
        </is>
      </c>
      <c r="B72" s="6">
        <f>SUMIFS('Custom Scenario'!$K$7:$K$10,'Custom Scenario'!$A$7:$A$10,"Dallas DC",'Custom Scenario'!$E$7:$E$10,"Green Valley Farms")</f>
        <v/>
      </c>
      <c r="C72" s="6">
        <f>SUMIFS('Custom Scenario'!$J$7:$J$10,'Custom Scenario'!$A$7:$A$10,"Dallas DC",'Custom Scenario'!$E$7:$E$10,"Green Valley Farms")</f>
        <v/>
      </c>
      <c r="D72" s="6" t="n"/>
      <c r="E72" s="6" t="n"/>
      <c r="F72" s="6" t="n"/>
      <c r="G72" s="6" t="n"/>
      <c r="H72" s="6" t="inlineStr">
        <is>
          <t>live (0 if not picked)</t>
        </is>
      </c>
    </row>
    <row r="73" hidden="1" outlineLevel="2">
      <c r="A73" s="6" t="inlineStr">
        <is>
          <t xml:space="preserve">      Sunbelt Produce</t>
        </is>
      </c>
      <c r="B73" s="6">
        <f>SUMIFS('Custom Scenario'!$K$7:$K$10,'Custom Scenario'!$A$7:$A$10,"Dallas DC",'Custom Scenario'!$E$7:$E$10,"Sunbelt Produce")</f>
        <v/>
      </c>
      <c r="C73" s="6">
        <f>SUMIFS('Custom Scenario'!$J$7:$J$10,'Custom Scenario'!$A$7:$A$10,"Dallas DC",'Custom Scenario'!$E$7:$E$10,"Sunbelt Produce")</f>
        <v/>
      </c>
      <c r="D73" s="6" t="n"/>
      <c r="E73" s="6" t="n"/>
      <c r="F73" s="6" t="n"/>
      <c r="G73" s="6" t="n"/>
      <c r="H73" s="6" t="inlineStr">
        <is>
          <t>live (0 if not picked)</t>
        </is>
      </c>
    </row>
    <row r="74"/>
    <row r="75">
      <c r="A75" s="1" t="inlineStr">
        <is>
          <t>PER-DC MATRIX — where the lenses differ (spend per DC × scenario)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6" customHeight="1">
      <c r="A76" s="4" t="inlineStr">
        <is>
          <t>DC</t>
        </is>
      </c>
      <c r="B76" s="4" t="inlineStr">
        <is>
          <t>A spend</t>
        </is>
      </c>
      <c r="C76" s="4" t="inlineStr">
        <is>
          <t>B spend</t>
        </is>
      </c>
      <c r="D76" s="4" t="inlineStr">
        <is>
          <t>C spend</t>
        </is>
      </c>
      <c r="E76" s="4" t="inlineStr">
        <is>
          <t>D spend</t>
        </is>
      </c>
      <c r="F76" s="4" t="inlineStr">
        <is>
          <t>E spend</t>
        </is>
      </c>
      <c r="G76" s="4" t="inlineStr">
        <is>
          <t>F spend</t>
        </is>
      </c>
      <c r="H76" s="4" t="inlineStr">
        <is>
          <t>G spend</t>
        </is>
      </c>
    </row>
    <row r="77">
      <c r="A77" s="5" t="inlineStr">
        <is>
          <t>Atlanta DC</t>
        </is>
      </c>
      <c r="B77" s="30" t="n">
        <v>109200</v>
      </c>
      <c r="C77" s="34" t="n">
        <v>109200</v>
      </c>
      <c r="D77" s="22" t="n">
        <v>109200</v>
      </c>
      <c r="E77" s="22" t="n">
        <v>109200</v>
      </c>
      <c r="F77" s="22" t="n">
        <v>109200</v>
      </c>
      <c r="G77" s="22" t="n">
        <v>109200</v>
      </c>
      <c r="H77" s="22" t="n">
        <v>109200</v>
      </c>
    </row>
    <row r="78" ht="24" customHeight="1">
      <c r="A78" s="44" t="inlineStr">
        <is>
          <t xml:space="preserve">   ↳ Atlanta DC supplier mix</t>
        </is>
      </c>
      <c r="B78" s="45" t="inlineStr">
        <is>
          <t>Green Valley Farms, Sunbelt Produce</t>
        </is>
      </c>
      <c r="C78" s="45" t="inlineStr">
        <is>
          <t>Green Valley Farms, Sunbelt Produce</t>
        </is>
      </c>
      <c r="D78" s="45" t="inlineStr">
        <is>
          <t>Green Valley Farms, Sunbelt Produce</t>
        </is>
      </c>
      <c r="E78" s="45" t="inlineStr">
        <is>
          <t>Green Valley Farms, Sunbelt Produce</t>
        </is>
      </c>
      <c r="F78" s="45" t="inlineStr">
        <is>
          <t>Green Valley Farms, Sunbelt Produce</t>
        </is>
      </c>
      <c r="G78" s="45" t="inlineStr">
        <is>
          <t>Green Valley Farms, Sunbelt Produce</t>
        </is>
      </c>
      <c r="H78" s="45" t="inlineStr">
        <is>
          <t>Green Valley Farms, Sunbelt Produce</t>
        </is>
      </c>
    </row>
    <row r="79">
      <c r="A79" s="5" t="inlineStr">
        <is>
          <t>Dallas DC</t>
        </is>
      </c>
      <c r="B79" s="30" t="n">
        <v>109200</v>
      </c>
      <c r="C79" s="34" t="n">
        <v>109200</v>
      </c>
      <c r="D79" s="22" t="n">
        <v>109200</v>
      </c>
      <c r="E79" s="22" t="n">
        <v>109200</v>
      </c>
      <c r="F79" s="22" t="n">
        <v>109200</v>
      </c>
      <c r="G79" s="22" t="n">
        <v>109200</v>
      </c>
      <c r="H79" s="22" t="n">
        <v>109200</v>
      </c>
    </row>
    <row r="80" ht="24" customHeight="1">
      <c r="A80" s="44" t="inlineStr">
        <is>
          <t xml:space="preserve">   ↳ Dallas DC supplier mix</t>
        </is>
      </c>
      <c r="B80" s="45" t="inlineStr">
        <is>
          <t>Green Valley Farms, Sunbelt Produce</t>
        </is>
      </c>
      <c r="C80" s="45" t="inlineStr">
        <is>
          <t>Green Valley Farms, Sunbelt Produce</t>
        </is>
      </c>
      <c r="D80" s="45" t="inlineStr">
        <is>
          <t>Green Valley Farms, Sunbelt Produce</t>
        </is>
      </c>
      <c r="E80" s="45" t="inlineStr">
        <is>
          <t>Green Valley Farms, Sunbelt Produce</t>
        </is>
      </c>
      <c r="F80" s="45" t="inlineStr">
        <is>
          <t>Green Valley Farms, Sunbelt Produce</t>
        </is>
      </c>
      <c r="G80" s="45" t="inlineStr">
        <is>
          <t>Green Valley Farms, Sunbelt Produce</t>
        </is>
      </c>
      <c r="H80" s="45" t="inlineStr">
        <is>
          <t>Green Valley Farms, Sunbelt Produce</t>
        </is>
      </c>
    </row>
  </sheetData>
  <autoFilter ref="A6:I14"/>
  <mergeCells count="7">
    <mergeCell ref="A2:I2"/>
    <mergeCell ref="A5:I5"/>
    <mergeCell ref="A75:I75"/>
    <mergeCell ref="A1:I1"/>
    <mergeCell ref="A3:I3"/>
    <mergeCell ref="A4:I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6" customWidth="1" min="4" max="4"/>
    <col width="22" customWidth="1" min="5" max="5"/>
    <col width="12" customWidth="1" min="6" max="6"/>
    <col width="14" customWidth="1" min="7" max="7"/>
    <col width="13" customWidth="1" min="8" max="8"/>
    <col width="11" customWidth="1" min="9" max="9"/>
    <col width="42" customWidth="1" min="10" max="10"/>
  </cols>
  <sheetData>
    <row r="1" ht="22" customHeight="1">
      <c r="A1" s="1" t="inlineStr">
        <is>
          <t>LOWEST-COST CHECK — is the recommendation the cheapest? if not, why?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Per cell: the Scenario B pick vs the market-low bid. Premium = the risk-adjusted cost traded for coverage/continuity. A = the lowest-cost benchmark.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LIVE CYCLE DATA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/>
    <row r="5"/>
    <row r="6" ht="30" customHeight="1">
      <c r="A6" s="4" t="inlineStr">
        <is>
          <t>DC</t>
        </is>
      </c>
      <c r="B6" s="4" t="inlineStr">
        <is>
          <t>Lot</t>
        </is>
      </c>
      <c r="C6" s="4" t="inlineStr">
        <is>
          <t>Item</t>
        </is>
      </c>
      <c r="D6" s="4" t="inlineStr">
        <is>
          <t>Timeframe</t>
        </is>
      </c>
      <c r="E6" s="4" t="inlineStr">
        <is>
          <t>Recommended</t>
        </is>
      </c>
      <c r="F6" s="4" t="inlineStr">
        <is>
          <t>Rec $/case</t>
        </is>
      </c>
      <c r="G6" s="4" t="inlineStr">
        <is>
          <t>Market-low $/case</t>
        </is>
      </c>
      <c r="H6" s="4" t="inlineStr">
        <is>
          <t>Premium vs Low</t>
        </is>
      </c>
      <c r="I6" s="4" t="inlineStr">
        <is>
          <t>Is Lowest?</t>
        </is>
      </c>
      <c r="J6" s="4" t="inlineStr">
        <is>
          <t>Why not lowest</t>
        </is>
      </c>
    </row>
    <row r="7">
      <c r="A7" s="6" t="inlineStr">
        <is>
          <t>Atlanta DC</t>
        </is>
      </c>
      <c r="B7" s="6" t="inlineStr">
        <is>
          <t>Lot 1 - Grape</t>
        </is>
      </c>
      <c r="C7" s="6" t="inlineStr">
        <is>
          <t>Premium Grape Tomato 10oz</t>
        </is>
      </c>
      <c r="D7" s="6" t="inlineStr">
        <is>
          <t>Spring 2026</t>
        </is>
      </c>
      <c r="E7" s="6" t="inlineStr">
        <is>
          <t>Green Valley Farms</t>
        </is>
      </c>
      <c r="F7" s="22" t="n">
        <v>10.5</v>
      </c>
      <c r="G7" s="22" t="n">
        <v>10.5</v>
      </c>
      <c r="H7" s="23" t="n">
        <v>0</v>
      </c>
      <c r="I7" s="6" t="inlineStr">
        <is>
          <t>Yes</t>
        </is>
      </c>
      <c r="J7" s="6" t="inlineStr">
        <is>
          <t>Recommended pick IS the market-low bid (the floor).</t>
        </is>
      </c>
    </row>
    <row r="8">
      <c r="A8" s="6" t="inlineStr">
        <is>
          <t>Atlanta DC</t>
        </is>
      </c>
      <c r="B8" s="6" t="inlineStr">
        <is>
          <t>Lot 2 - Roma</t>
        </is>
      </c>
      <c r="C8" s="6" t="inlineStr">
        <is>
          <t>Roma Tomato Bulk 25lb</t>
        </is>
      </c>
      <c r="D8" s="6" t="inlineStr">
        <is>
          <t>Spring 2026</t>
        </is>
      </c>
      <c r="E8" s="6" t="inlineStr">
        <is>
          <t>Sunbelt Produce</t>
        </is>
      </c>
      <c r="F8" s="22" t="n">
        <v>10.5</v>
      </c>
      <c r="G8" s="22" t="n">
        <v>10.5</v>
      </c>
      <c r="H8" s="23" t="n">
        <v>0</v>
      </c>
      <c r="I8" s="6" t="inlineStr">
        <is>
          <t>Yes</t>
        </is>
      </c>
      <c r="J8" s="6" t="inlineStr">
        <is>
          <t>Recommended pick IS the market-low bid (the floor).</t>
        </is>
      </c>
    </row>
    <row r="9">
      <c r="A9" s="6" t="inlineStr">
        <is>
          <t>Dallas DC</t>
        </is>
      </c>
      <c r="B9" s="6" t="inlineStr">
        <is>
          <t>Lot 1 - Grape</t>
        </is>
      </c>
      <c r="C9" s="6" t="inlineStr">
        <is>
          <t>Premium Grape Tomato 10oz</t>
        </is>
      </c>
      <c r="D9" s="6" t="inlineStr">
        <is>
          <t>Spring 2026</t>
        </is>
      </c>
      <c r="E9" s="6" t="inlineStr">
        <is>
          <t>Green Valley Farms</t>
        </is>
      </c>
      <c r="F9" s="22" t="n">
        <v>10.5</v>
      </c>
      <c r="G9" s="22" t="n">
        <v>10.5</v>
      </c>
      <c r="H9" s="23" t="n">
        <v>0</v>
      </c>
      <c r="I9" s="6" t="inlineStr">
        <is>
          <t>Yes</t>
        </is>
      </c>
      <c r="J9" s="6" t="inlineStr">
        <is>
          <t>Recommended pick IS the market-low bid (the floor).</t>
        </is>
      </c>
    </row>
    <row r="10">
      <c r="A10" s="6" t="inlineStr">
        <is>
          <t>Dallas DC</t>
        </is>
      </c>
      <c r="B10" s="6" t="inlineStr">
        <is>
          <t>Lot 2 - Roma</t>
        </is>
      </c>
      <c r="C10" s="6" t="inlineStr">
        <is>
          <t>Roma Tomato Bulk 25lb</t>
        </is>
      </c>
      <c r="D10" s="6" t="inlineStr">
        <is>
          <t>Spring 2026</t>
        </is>
      </c>
      <c r="E10" s="6" t="inlineStr">
        <is>
          <t>Sunbelt Produce</t>
        </is>
      </c>
      <c r="F10" s="22" t="n">
        <v>10.5</v>
      </c>
      <c r="G10" s="22" t="n">
        <v>10.5</v>
      </c>
      <c r="H10" s="23" t="n">
        <v>0</v>
      </c>
      <c r="I10" s="6" t="inlineStr">
        <is>
          <t>Yes</t>
        </is>
      </c>
      <c r="J10" s="6" t="inlineStr">
        <is>
          <t>Recommended pick IS the market-low bid (the floor).</t>
        </is>
      </c>
    </row>
  </sheetData>
  <autoFilter ref="A6:J10"/>
  <mergeCells count="3">
    <mergeCell ref="A1:J1"/>
    <mergeCell ref="A3:J3"/>
    <mergeCell ref="A2:J2"/>
  </mergeCells>
  <conditionalFormatting sqref="H7:H10">
    <cfRule type="cellIs" priority="1" operator="greaterThan" dxfId="2">
      <formula>0.07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6" customWidth="1" min="4" max="4"/>
    <col width="13" customWidth="1" min="5" max="5"/>
    <col width="14" customWidth="1" min="6" max="6"/>
    <col width="22" customWidth="1" min="7" max="7"/>
    <col width="14" customWidth="1" min="8" max="8"/>
    <col width="14" customWidth="1" min="9" max="9"/>
    <col width="14" customWidth="1" min="10" max="10"/>
    <col width="13" customWidth="1" min="11" max="11"/>
    <col width="22" customWidth="1" min="12" max="12"/>
    <col width="10" customWidth="1" min="13" max="13"/>
    <col width="13" customWidth="1" min="14" max="14"/>
    <col width="13" customWidth="1" min="15" max="15"/>
  </cols>
  <sheetData>
    <row r="1" ht="22" customHeight="1">
      <c r="A1" s="1" t="inlineStr">
        <is>
          <t>SUPPLIER COMPARISON — every supplier per cell, side by side (the FOB comparison)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Each row = one DC × lot × item × TF cell. Left block = each supplier's all-in $/case (blank = no bid). GREEN = lowest (best) price per row. Recommended pick = bold blue; incumbent = amber.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Right block = cost impact vs baseline % per supplier (the premium each carries). Min $/case, Recommended supplier + RecScore in the middle.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LIVE CYCLE DATA · 2 suppliers · DECISION-SUPPORT — recommends, does not assert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/>
    <row r="6"/>
    <row r="7" ht="30" customHeight="1">
      <c r="A7" s="4" t="inlineStr">
        <is>
          <t>DC</t>
        </is>
      </c>
      <c r="B7" s="4" t="inlineStr">
        <is>
          <t>Lot</t>
        </is>
      </c>
      <c r="C7" s="4" t="inlineStr">
        <is>
          <t>Item</t>
        </is>
      </c>
      <c r="D7" s="4" t="inlineStr">
        <is>
          <t>Timeframe</t>
        </is>
      </c>
      <c r="E7" s="4" t="inlineStr">
        <is>
          <t>Demand (cases)</t>
        </is>
      </c>
      <c r="F7" s="4" t="inlineStr">
        <is>
          <t>Baseline $/case</t>
        </is>
      </c>
      <c r="G7" s="4" t="inlineStr">
        <is>
          <t>Incumbent</t>
        </is>
      </c>
      <c r="H7" s="4" t="inlineStr">
        <is>
          <t>Incumbent $/case</t>
        </is>
      </c>
      <c r="I7" s="4" t="inlineStr">
        <is>
          <t>Green Valley Farms</t>
        </is>
      </c>
      <c r="J7" s="4" t="inlineStr">
        <is>
          <t>Sunbelt Produce</t>
        </is>
      </c>
      <c r="K7" s="4" t="inlineStr">
        <is>
          <t>Min $/case</t>
        </is>
      </c>
      <c r="L7" s="4" t="inlineStr">
        <is>
          <t>Recommended</t>
        </is>
      </c>
      <c r="M7" s="4" t="inlineStr">
        <is>
          <t>RecScore</t>
        </is>
      </c>
      <c r="N7" s="4" t="inlineStr">
        <is>
          <t>Green Valley Farms (impact)</t>
        </is>
      </c>
      <c r="O7" s="4" t="inlineStr">
        <is>
          <t>Sunbelt Produce (impact)</t>
        </is>
      </c>
    </row>
    <row r="8">
      <c r="A8" s="6" t="inlineStr">
        <is>
          <t>Atlanta DC</t>
        </is>
      </c>
      <c r="B8" s="6" t="inlineStr">
        <is>
          <t>Lot 1 - Grape</t>
        </is>
      </c>
      <c r="C8" s="6" t="inlineStr">
        <is>
          <t>Premium Grape Tomato 10oz</t>
        </is>
      </c>
      <c r="D8" s="6" t="inlineStr">
        <is>
          <t>Spring 2026</t>
        </is>
      </c>
      <c r="E8" s="21" t="n">
        <v>5200</v>
      </c>
      <c r="F8" s="22" t="n">
        <v>13.5</v>
      </c>
      <c r="G8" s="6" t="inlineStr">
        <is>
          <t>Green Valley Farms</t>
        </is>
      </c>
      <c r="H8" s="22" t="n">
        <v>10.5</v>
      </c>
      <c r="I8" s="46" t="n">
        <v>10.5</v>
      </c>
      <c r="J8" s="22" t="n">
        <v>11.8</v>
      </c>
      <c r="K8" s="22" t="n">
        <v>10.5</v>
      </c>
      <c r="L8" s="6" t="inlineStr">
        <is>
          <t>Green Valley Farms</t>
        </is>
      </c>
      <c r="M8" s="21" t="n">
        <v>98.90000000000001</v>
      </c>
      <c r="N8" s="23" t="n">
        <v>-0.2222222222222222</v>
      </c>
      <c r="O8" s="23" t="n">
        <v>-0.1259259259259259</v>
      </c>
    </row>
    <row r="9">
      <c r="A9" s="6" t="inlineStr">
        <is>
          <t>Atlanta DC</t>
        </is>
      </c>
      <c r="B9" s="6" t="inlineStr">
        <is>
          <t>Lot 2 - Roma</t>
        </is>
      </c>
      <c r="C9" s="6" t="inlineStr">
        <is>
          <t>Roma Tomato Bulk 25lb</t>
        </is>
      </c>
      <c r="D9" s="6" t="inlineStr">
        <is>
          <t>Spring 2026</t>
        </is>
      </c>
      <c r="E9" s="21" t="n">
        <v>5200</v>
      </c>
      <c r="F9" s="22" t="n">
        <v>13.5</v>
      </c>
      <c r="G9" s="6" t="inlineStr">
        <is>
          <t>Green Valley Farms</t>
        </is>
      </c>
      <c r="H9" s="22" t="n">
        <v>11.8</v>
      </c>
      <c r="I9" s="47" t="n">
        <v>11.8</v>
      </c>
      <c r="J9" s="46" t="n">
        <v>10.5</v>
      </c>
      <c r="K9" s="22" t="n">
        <v>10.5</v>
      </c>
      <c r="L9" s="6" t="inlineStr">
        <is>
          <t>Sunbelt Produce</t>
        </is>
      </c>
      <c r="M9" s="21" t="n">
        <v>78.90000000000001</v>
      </c>
      <c r="N9" s="23" t="n">
        <v>-0.1259259259259259</v>
      </c>
      <c r="O9" s="23" t="n">
        <v>-0.2222222222222222</v>
      </c>
    </row>
    <row r="10">
      <c r="A10" s="6" t="inlineStr">
        <is>
          <t>Dallas DC</t>
        </is>
      </c>
      <c r="B10" s="6" t="inlineStr">
        <is>
          <t>Lot 1 - Grape</t>
        </is>
      </c>
      <c r="C10" s="6" t="inlineStr">
        <is>
          <t>Premium Grape Tomato 10oz</t>
        </is>
      </c>
      <c r="D10" s="6" t="inlineStr">
        <is>
          <t>Spring 2026</t>
        </is>
      </c>
      <c r="E10" s="21" t="n">
        <v>5200</v>
      </c>
      <c r="F10" s="22" t="n">
        <v>13.5</v>
      </c>
      <c r="G10" s="6" t="inlineStr">
        <is>
          <t>Green Valley Farms</t>
        </is>
      </c>
      <c r="H10" s="22" t="n">
        <v>10.5</v>
      </c>
      <c r="I10" s="46" t="n">
        <v>10.5</v>
      </c>
      <c r="J10" s="22" t="n">
        <v>11.8</v>
      </c>
      <c r="K10" s="22" t="n">
        <v>10.5</v>
      </c>
      <c r="L10" s="6" t="inlineStr">
        <is>
          <t>Green Valley Farms</t>
        </is>
      </c>
      <c r="M10" s="21" t="n">
        <v>98.90000000000001</v>
      </c>
      <c r="N10" s="23" t="n">
        <v>-0.2222222222222222</v>
      </c>
      <c r="O10" s="23" t="n">
        <v>-0.1259259259259259</v>
      </c>
    </row>
    <row r="11">
      <c r="A11" s="6" t="inlineStr">
        <is>
          <t>Dallas DC</t>
        </is>
      </c>
      <c r="B11" s="6" t="inlineStr">
        <is>
          <t>Lot 2 - Roma</t>
        </is>
      </c>
      <c r="C11" s="6" t="inlineStr">
        <is>
          <t>Roma Tomato Bulk 25lb</t>
        </is>
      </c>
      <c r="D11" s="6" t="inlineStr">
        <is>
          <t>Spring 2026</t>
        </is>
      </c>
      <c r="E11" s="21" t="n">
        <v>5200</v>
      </c>
      <c r="F11" s="22" t="n">
        <v>13.5</v>
      </c>
      <c r="G11" s="6" t="inlineStr">
        <is>
          <t>Green Valley Farms</t>
        </is>
      </c>
      <c r="H11" s="22" t="n">
        <v>11.8</v>
      </c>
      <c r="I11" s="47" t="n">
        <v>11.8</v>
      </c>
      <c r="J11" s="46" t="n">
        <v>10.5</v>
      </c>
      <c r="K11" s="22" t="n">
        <v>10.5</v>
      </c>
      <c r="L11" s="6" t="inlineStr">
        <is>
          <t>Sunbelt Produce</t>
        </is>
      </c>
      <c r="M11" s="21" t="n">
        <v>78.90000000000001</v>
      </c>
      <c r="N11" s="23" t="n">
        <v>-0.1259259259259259</v>
      </c>
      <c r="O11" s="23" t="n">
        <v>-0.2222222222222222</v>
      </c>
    </row>
    <row r="12">
      <c r="A12" s="25" t="inlineStr">
        <is>
          <t>TOTAL</t>
        </is>
      </c>
      <c r="B12" s="25" t="n"/>
      <c r="C12" s="25" t="n"/>
      <c r="D12" s="25" t="n"/>
      <c r="E12" s="26">
        <f>SUM(E8:E11)</f>
        <v/>
      </c>
      <c r="F12" s="48" t="n"/>
      <c r="G12" s="25" t="n"/>
      <c r="H12" s="48" t="n"/>
      <c r="I12" s="48" t="n"/>
      <c r="J12" s="48" t="n"/>
      <c r="K12" s="48" t="n"/>
      <c r="L12" s="25" t="n"/>
      <c r="M12" s="48" t="n"/>
      <c r="N12" s="48" t="n"/>
      <c r="O12" s="48" t="n"/>
    </row>
  </sheetData>
  <autoFilter ref="A7:O11"/>
  <mergeCells count="4">
    <mergeCell ref="A1:O1"/>
    <mergeCell ref="A4:O4"/>
    <mergeCell ref="A3:O3"/>
    <mergeCell ref="A2:O2"/>
  </mergeCells>
  <conditionalFormatting sqref="I8:J11">
    <cfRule type="expression" priority="1" dxfId="0" stopIfTrue="0">
      <formula>AND(I8&lt;&gt;"",I8=MIN($I8:$J8))</formula>
    </cfRule>
  </conditionalFormatting>
  <conditionalFormatting sqref="N8:O11">
    <cfRule type="cellIs" priority="2" operator="greaterThan" dxfId="1">
      <formula>0.12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2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 ht="22" customHeight="1">
      <c r="A1" s="1" t="inlineStr">
        <is>
          <t>Landed &amp; Hidden Costs — farm-gate + freight = landed, plus transit/freshness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Cheapest LANDED bid per (lot, DC) green · freight = Delivery + VegCool · transit &gt; 4d = freshness watch (hidden cost)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/>
    <row r="5" ht="30" customHeight="1">
      <c r="A5" s="4" t="inlineStr">
        <is>
          <t>Lot</t>
        </is>
      </c>
      <c r="B5" s="4" t="inlineStr">
        <is>
          <t>DC</t>
        </is>
      </c>
      <c r="C5" s="4" t="inlineStr">
        <is>
          <t>Region</t>
        </is>
      </c>
      <c r="D5" s="4" t="inlineStr">
        <is>
          <t>Supplier</t>
        </is>
      </c>
      <c r="E5" s="4" t="inlineStr">
        <is>
          <t>FOB $/case</t>
        </is>
      </c>
      <c r="F5" s="4" t="inlineStr">
        <is>
          <t>+ Delivery</t>
        </is>
      </c>
      <c r="G5" s="4" t="inlineStr">
        <is>
          <t>+ VegCool</t>
        </is>
      </c>
      <c r="H5" s="4" t="inlineStr">
        <is>
          <t>= All-In $/case</t>
        </is>
      </c>
      <c r="I5" s="4" t="inlineStr">
        <is>
          <t>Freight % of All-In</t>
        </is>
      </c>
      <c r="J5" s="4" t="inlineStr">
        <is>
          <t>Transit (days)</t>
        </is>
      </c>
      <c r="K5" s="4" t="inlineStr">
        <is>
          <t>Freshness</t>
        </is>
      </c>
    </row>
    <row r="6">
      <c r="A6" s="6" t="inlineStr">
        <is>
          <t>Lot 1 - Grape</t>
        </is>
      </c>
      <c r="B6" s="6" t="inlineStr">
        <is>
          <t>Atlanta DC</t>
        </is>
      </c>
      <c r="C6" s="6" t="inlineStr">
        <is>
          <t>East</t>
        </is>
      </c>
      <c r="D6" s="49" t="inlineStr">
        <is>
          <t>Green Valley Farms</t>
        </is>
      </c>
      <c r="E6" s="22" t="n">
        <v>9.5</v>
      </c>
      <c r="F6" s="22" t="n">
        <v>0</v>
      </c>
      <c r="G6" s="22" t="n">
        <v>0</v>
      </c>
      <c r="H6" s="50" t="n">
        <v>10.5</v>
      </c>
      <c r="I6" s="23" t="n">
        <v>0</v>
      </c>
      <c r="J6" s="21" t="inlineStr">
        <is>
          <t>—</t>
        </is>
      </c>
      <c r="K6" s="6" t="inlineStr">
        <is>
          <t>—</t>
        </is>
      </c>
    </row>
    <row r="7">
      <c r="A7" s="6" t="inlineStr">
        <is>
          <t>Lot 1 - Grape</t>
        </is>
      </c>
      <c r="B7" s="6" t="inlineStr">
        <is>
          <t>Atlanta DC</t>
        </is>
      </c>
      <c r="C7" s="6" t="inlineStr">
        <is>
          <t>East</t>
        </is>
      </c>
      <c r="D7" s="6" t="inlineStr">
        <is>
          <t>Sunbelt Produce</t>
        </is>
      </c>
      <c r="E7" s="22" t="n">
        <v>10.8</v>
      </c>
      <c r="F7" s="22" t="n">
        <v>0</v>
      </c>
      <c r="G7" s="22" t="n">
        <v>0</v>
      </c>
      <c r="H7" s="22" t="n">
        <v>11.8</v>
      </c>
      <c r="I7" s="23" t="n">
        <v>0</v>
      </c>
      <c r="J7" s="21" t="inlineStr">
        <is>
          <t>—</t>
        </is>
      </c>
      <c r="K7" s="6" t="inlineStr">
        <is>
          <t>—</t>
        </is>
      </c>
    </row>
    <row r="8">
      <c r="A8" s="6" t="inlineStr">
        <is>
          <t>Lot 1 - Grape</t>
        </is>
      </c>
      <c r="B8" s="6" t="inlineStr">
        <is>
          <t>Dallas DC</t>
        </is>
      </c>
      <c r="C8" s="6" t="inlineStr">
        <is>
          <t>South</t>
        </is>
      </c>
      <c r="D8" s="49" t="inlineStr">
        <is>
          <t>Green Valley Farms</t>
        </is>
      </c>
      <c r="E8" s="22" t="n">
        <v>9.5</v>
      </c>
      <c r="F8" s="22" t="n">
        <v>0</v>
      </c>
      <c r="G8" s="22" t="n">
        <v>0</v>
      </c>
      <c r="H8" s="50" t="n">
        <v>10.5</v>
      </c>
      <c r="I8" s="23" t="n">
        <v>0</v>
      </c>
      <c r="J8" s="21" t="inlineStr">
        <is>
          <t>—</t>
        </is>
      </c>
      <c r="K8" s="6" t="inlineStr">
        <is>
          <t>—</t>
        </is>
      </c>
    </row>
    <row r="9">
      <c r="A9" s="6" t="inlineStr">
        <is>
          <t>Lot 1 - Grape</t>
        </is>
      </c>
      <c r="B9" s="6" t="inlineStr">
        <is>
          <t>Dallas DC</t>
        </is>
      </c>
      <c r="C9" s="6" t="inlineStr">
        <is>
          <t>South</t>
        </is>
      </c>
      <c r="D9" s="6" t="inlineStr">
        <is>
          <t>Sunbelt Produce</t>
        </is>
      </c>
      <c r="E9" s="22" t="n">
        <v>10.8</v>
      </c>
      <c r="F9" s="22" t="n">
        <v>0</v>
      </c>
      <c r="G9" s="22" t="n">
        <v>0</v>
      </c>
      <c r="H9" s="22" t="n">
        <v>11.8</v>
      </c>
      <c r="I9" s="23" t="n">
        <v>0</v>
      </c>
      <c r="J9" s="21" t="inlineStr">
        <is>
          <t>—</t>
        </is>
      </c>
      <c r="K9" s="6" t="inlineStr">
        <is>
          <t>—</t>
        </is>
      </c>
    </row>
    <row r="10">
      <c r="A10" s="6" t="inlineStr">
        <is>
          <t>Lot 2 - Roma</t>
        </is>
      </c>
      <c r="B10" s="6" t="inlineStr">
        <is>
          <t>Atlanta DC</t>
        </is>
      </c>
      <c r="C10" s="6" t="inlineStr">
        <is>
          <t>East</t>
        </is>
      </c>
      <c r="D10" s="49" t="inlineStr">
        <is>
          <t>Sunbelt Produce</t>
        </is>
      </c>
      <c r="E10" s="22" t="n">
        <v>9.5</v>
      </c>
      <c r="F10" s="22" t="n">
        <v>0</v>
      </c>
      <c r="G10" s="22" t="n">
        <v>0</v>
      </c>
      <c r="H10" s="50" t="n">
        <v>10.5</v>
      </c>
      <c r="I10" s="23" t="n">
        <v>0</v>
      </c>
      <c r="J10" s="21" t="inlineStr">
        <is>
          <t>—</t>
        </is>
      </c>
      <c r="K10" s="6" t="inlineStr">
        <is>
          <t>—</t>
        </is>
      </c>
    </row>
    <row r="11">
      <c r="A11" s="6" t="inlineStr">
        <is>
          <t>Lot 2 - Roma</t>
        </is>
      </c>
      <c r="B11" s="6" t="inlineStr">
        <is>
          <t>Atlanta DC</t>
        </is>
      </c>
      <c r="C11" s="6" t="inlineStr">
        <is>
          <t>East</t>
        </is>
      </c>
      <c r="D11" s="6" t="inlineStr">
        <is>
          <t>Green Valley Farms</t>
        </is>
      </c>
      <c r="E11" s="22" t="n">
        <v>10.8</v>
      </c>
      <c r="F11" s="22" t="n">
        <v>0</v>
      </c>
      <c r="G11" s="22" t="n">
        <v>0</v>
      </c>
      <c r="H11" s="22" t="n">
        <v>11.8</v>
      </c>
      <c r="I11" s="23" t="n">
        <v>0</v>
      </c>
      <c r="J11" s="21" t="inlineStr">
        <is>
          <t>—</t>
        </is>
      </c>
      <c r="K11" s="6" t="inlineStr">
        <is>
          <t>—</t>
        </is>
      </c>
    </row>
    <row r="12">
      <c r="A12" s="6" t="inlineStr">
        <is>
          <t>Lot 2 - Roma</t>
        </is>
      </c>
      <c r="B12" s="6" t="inlineStr">
        <is>
          <t>Dallas DC</t>
        </is>
      </c>
      <c r="C12" s="6" t="inlineStr">
        <is>
          <t>South</t>
        </is>
      </c>
      <c r="D12" s="49" t="inlineStr">
        <is>
          <t>Sunbelt Produce</t>
        </is>
      </c>
      <c r="E12" s="22" t="n">
        <v>9.5</v>
      </c>
      <c r="F12" s="22" t="n">
        <v>0</v>
      </c>
      <c r="G12" s="22" t="n">
        <v>0</v>
      </c>
      <c r="H12" s="50" t="n">
        <v>10.5</v>
      </c>
      <c r="I12" s="23" t="n">
        <v>0</v>
      </c>
      <c r="J12" s="21" t="inlineStr">
        <is>
          <t>—</t>
        </is>
      </c>
      <c r="K12" s="6" t="inlineStr">
        <is>
          <t>—</t>
        </is>
      </c>
    </row>
    <row r="13">
      <c r="A13" s="6" t="inlineStr">
        <is>
          <t>Lot 2 - Roma</t>
        </is>
      </c>
      <c r="B13" s="6" t="inlineStr">
        <is>
          <t>Dallas DC</t>
        </is>
      </c>
      <c r="C13" s="6" t="inlineStr">
        <is>
          <t>South</t>
        </is>
      </c>
      <c r="D13" s="6" t="inlineStr">
        <is>
          <t>Green Valley Farms</t>
        </is>
      </c>
      <c r="E13" s="22" t="n">
        <v>10.8</v>
      </c>
      <c r="F13" s="22" t="n">
        <v>0</v>
      </c>
      <c r="G13" s="22" t="n">
        <v>0</v>
      </c>
      <c r="H13" s="22" t="n">
        <v>11.8</v>
      </c>
      <c r="I13" s="23" t="n">
        <v>0</v>
      </c>
      <c r="J13" s="21" t="inlineStr">
        <is>
          <t>—</t>
        </is>
      </c>
      <c r="K13" s="6" t="inlineStr">
        <is>
          <t>—</t>
        </is>
      </c>
    </row>
    <row r="14"/>
    <row r="15"/>
    <row r="16">
      <c r="A16" s="1" t="inlineStr">
        <is>
          <t>Regional freight (avg Delivery $/case by lane)</t>
        </is>
      </c>
    </row>
    <row r="17">
      <c r="A17" s="15" t="inlineStr">
        <is>
          <t>Region</t>
        </is>
      </c>
      <c r="B17" s="15" t="inlineStr">
        <is>
          <t>Avg Delivery $/case</t>
        </is>
      </c>
      <c r="C17" s="15" t="inlineStr">
        <is>
          <t>Lanes</t>
        </is>
      </c>
    </row>
    <row r="18">
      <c r="A18" s="51" t="inlineStr">
        <is>
          <t>East</t>
        </is>
      </c>
      <c r="B18" s="22" t="n">
        <v>0</v>
      </c>
      <c r="C18" s="21" t="n">
        <v>4</v>
      </c>
    </row>
    <row r="19">
      <c r="A19" s="51" t="inlineStr">
        <is>
          <t>South</t>
        </is>
      </c>
      <c r="B19" s="22" t="n">
        <v>0</v>
      </c>
      <c r="C19" s="21" t="n">
        <v>4</v>
      </c>
    </row>
  </sheetData>
  <autoFilter ref="A5:K13"/>
  <mergeCells count="4">
    <mergeCell ref="A2:K2"/>
    <mergeCell ref="A1:K1"/>
    <mergeCell ref="A16:C16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</cols>
  <sheetData>
    <row r="1" ht="22" customHeight="1">
      <c r="A1" s="1" t="inlineStr">
        <is>
          <t>Share &amp; Relationships — who carries the business, and the relationship behind it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Preserve = incumbent kept · Create = new supplier earned in · Dependency = share ≥ 40% (concentration risk)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/>
    <row r="5"/>
    <row r="6" ht="30" customHeight="1">
      <c r="A6" s="4" t="inlineStr">
        <is>
          <t>Supplier</t>
        </is>
      </c>
      <c r="B6" s="4" t="inlineStr">
        <is>
          <t>Relationship</t>
        </is>
      </c>
      <c r="C6" s="4" t="inlineStr">
        <is>
          <t>A share</t>
        </is>
      </c>
      <c r="D6" s="4" t="inlineStr">
        <is>
          <t>B share</t>
        </is>
      </c>
      <c r="E6" s="4" t="inlineStr">
        <is>
          <t>C share</t>
        </is>
      </c>
      <c r="F6" s="4" t="inlineStr">
        <is>
          <t>D share</t>
        </is>
      </c>
      <c r="G6" s="4" t="inlineStr">
        <is>
          <t>E share</t>
        </is>
      </c>
      <c r="H6" s="4" t="inlineStr">
        <is>
          <t>F share</t>
        </is>
      </c>
      <c r="I6" s="4" t="inlineStr">
        <is>
          <t>G share</t>
        </is>
      </c>
      <c r="J6" s="4" t="inlineStr">
        <is>
          <t>Max share</t>
        </is>
      </c>
      <c r="K6" s="4" t="inlineStr">
        <is>
          <t>Dependency?</t>
        </is>
      </c>
    </row>
    <row r="7">
      <c r="A7" s="6" t="inlineStr">
        <is>
          <t>Green Valley Farms</t>
        </is>
      </c>
      <c r="B7" s="6" t="inlineStr">
        <is>
          <t>Preserve</t>
        </is>
      </c>
      <c r="C7" s="23" t="n">
        <v>0.5</v>
      </c>
      <c r="D7" s="23" t="n">
        <v>0.5</v>
      </c>
      <c r="E7" s="23" t="n">
        <v>0.5</v>
      </c>
      <c r="F7" s="23" t="n">
        <v>0.5</v>
      </c>
      <c r="G7" s="23" t="n">
        <v>0.5</v>
      </c>
      <c r="H7" s="23" t="n">
        <v>0.5</v>
      </c>
      <c r="I7" s="23" t="n">
        <v>0.5</v>
      </c>
      <c r="J7" s="23" t="n">
        <v>0.5</v>
      </c>
      <c r="K7" s="52" t="inlineStr">
        <is>
          <t>DEPENDENCY</t>
        </is>
      </c>
    </row>
    <row r="8">
      <c r="A8" s="6" t="inlineStr">
        <is>
          <t>Sunbelt Produce</t>
        </is>
      </c>
      <c r="B8" s="6" t="inlineStr">
        <is>
          <t>Create</t>
        </is>
      </c>
      <c r="C8" s="23" t="n">
        <v>0.5</v>
      </c>
      <c r="D8" s="23" t="n">
        <v>0.5</v>
      </c>
      <c r="E8" s="23" t="n">
        <v>0.5</v>
      </c>
      <c r="F8" s="23" t="n">
        <v>0.5</v>
      </c>
      <c r="G8" s="23" t="n">
        <v>0.5</v>
      </c>
      <c r="H8" s="23" t="n">
        <v>0.5</v>
      </c>
      <c r="I8" s="23" t="n">
        <v>0.5</v>
      </c>
      <c r="J8" s="23" t="n">
        <v>0.5</v>
      </c>
      <c r="K8" s="52" t="inlineStr">
        <is>
          <t>DEPENDENCY</t>
        </is>
      </c>
    </row>
    <row r="9"/>
    <row r="10"/>
    <row r="11">
      <c r="A11" s="1" t="inlineStr">
        <is>
          <t>Relationship ledger — Scenario B (recommended)</t>
        </is>
      </c>
    </row>
    <row r="12" ht="22" customHeight="1">
      <c r="A12" s="5" t="inlineStr">
        <is>
          <t>Relationships PRESERVED (incumbent retained)</t>
        </is>
      </c>
      <c r="B12" s="16" t="inlineStr">
        <is>
          <t>Green Valley Farms</t>
        </is>
      </c>
      <c r="C12" s="53" t="n"/>
      <c r="D12" s="54" t="n"/>
    </row>
    <row r="13" ht="22" customHeight="1">
      <c r="A13" s="5" t="inlineStr">
        <is>
          <t>Relationships CREATED (new supplier earned in)</t>
        </is>
      </c>
      <c r="B13" s="16" t="inlineStr">
        <is>
          <t>Sunbelt Produce</t>
        </is>
      </c>
      <c r="C13" s="53" t="n"/>
      <c r="D13" s="54" t="n"/>
    </row>
    <row r="14" ht="22" customHeight="1">
      <c r="A14" s="5" t="inlineStr">
        <is>
          <t>Incumbents NOT awarded (relationship at risk)</t>
        </is>
      </c>
      <c r="B14" s="16" t="inlineStr">
        <is>
          <t>—</t>
        </is>
      </c>
      <c r="C14" s="53" t="n"/>
      <c r="D14" s="54" t="n"/>
    </row>
  </sheetData>
  <autoFilter ref="A6:K8"/>
  <mergeCells count="7">
    <mergeCell ref="B14:D14"/>
    <mergeCell ref="A3:K3"/>
    <mergeCell ref="A2:K2"/>
    <mergeCell ref="B13:D13"/>
    <mergeCell ref="A11:D11"/>
    <mergeCell ref="B12:D12"/>
    <mergeCell ref="A1:K1"/>
  </mergeCells>
  <conditionalFormatting sqref="C7:I8">
    <cfRule type="colorScale" priority="1">
      <colorScale>
        <cfvo type="num" val="0"/>
        <cfvo type="num" val="0.4"/>
        <cfvo type="num" val="0.6"/>
        <color rgb="00FFFFFF"/>
        <color rgb="00FFEB9C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18" customWidth="1" min="4" max="4"/>
    <col width="14" customWidth="1" min="5" max="5"/>
    <col width="20" customWidth="1" min="6" max="6"/>
    <col width="18" customWidth="1" min="7" max="7"/>
    <col width="12" customWidth="1" min="8" max="8"/>
    <col width="14" customWidth="1" min="9" max="9"/>
    <col width="12" customWidth="1" min="10" max="10"/>
    <col width="16" customWidth="1" min="11" max="11"/>
    <col width="16" customWidth="1" min="12" max="12"/>
  </cols>
  <sheetData>
    <row r="1" ht="22" customHeight="1">
      <c r="A1" s="1" t="inlineStr">
        <is>
          <t>Incumbent Retention — what keeping each incumbent costs vs. the recommendation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The engine recommends on economics and already keeps a price-eligible incumbent on a near-tie. 'Gated by premium' = the incumbent's bid is over the eligibility ceiling, so the engine excludes it — retaining is a recorded override, never silently paid.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Δ to retain = incumbent − recommendation; Premium to retain $ = Δ × period cases. Sort/keep what the relationship is worth.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/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TF</t>
        </is>
      </c>
      <c r="D5" s="4" t="inlineStr">
        <is>
          <t>Incumbent</t>
        </is>
      </c>
      <c r="E5" s="4" t="inlineStr">
        <is>
          <t>Incumbent $/case</t>
        </is>
      </c>
      <c r="F5" s="4" t="inlineStr">
        <is>
          <t>Status</t>
        </is>
      </c>
      <c r="G5" s="4" t="inlineStr">
        <is>
          <t>Recommended</t>
        </is>
      </c>
      <c r="H5" s="4" t="inlineStr">
        <is>
          <t>Rec $/case</t>
        </is>
      </c>
      <c r="I5" s="4" t="inlineStr">
        <is>
          <t>Δ to retain $/case</t>
        </is>
      </c>
      <c r="J5" s="4" t="inlineStr">
        <is>
          <t>Period cases</t>
        </is>
      </c>
      <c r="K5" s="4" t="inlineStr">
        <is>
          <t>Premium to retain $</t>
        </is>
      </c>
      <c r="L5" s="4" t="inlineStr">
        <is>
          <t>Retain? (your call)</t>
        </is>
      </c>
    </row>
    <row r="6">
      <c r="A6" s="6" t="inlineStr">
        <is>
          <t>Atlanta DC</t>
        </is>
      </c>
      <c r="B6" s="6" t="inlineStr">
        <is>
          <t>Lot 2 - Roma</t>
        </is>
      </c>
      <c r="C6" s="6" t="inlineStr">
        <is>
          <t>Spring 2026</t>
        </is>
      </c>
      <c r="D6" s="6" t="inlineStr">
        <is>
          <t>Green Valley Farms</t>
        </is>
      </c>
      <c r="E6" s="22" t="n">
        <v>11.8</v>
      </c>
      <c r="F6" s="55" t="inlineStr">
        <is>
          <t>Gated by premium</t>
        </is>
      </c>
      <c r="G6" s="6" t="inlineStr">
        <is>
          <t>Sunbelt Produce</t>
        </is>
      </c>
      <c r="H6" s="22" t="n">
        <v>10.5</v>
      </c>
      <c r="I6" s="22" t="n">
        <v>1.3</v>
      </c>
      <c r="J6" s="21" t="n">
        <v>5200</v>
      </c>
      <c r="K6" s="22" t="n">
        <v>6760</v>
      </c>
      <c r="L6" s="6" t="n"/>
    </row>
    <row r="7">
      <c r="A7" s="6" t="inlineStr">
        <is>
          <t>Dallas DC</t>
        </is>
      </c>
      <c r="B7" s="6" t="inlineStr">
        <is>
          <t>Lot 2 - Roma</t>
        </is>
      </c>
      <c r="C7" s="6" t="inlineStr">
        <is>
          <t>Spring 2026</t>
        </is>
      </c>
      <c r="D7" s="6" t="inlineStr">
        <is>
          <t>Green Valley Farms</t>
        </is>
      </c>
      <c r="E7" s="22" t="n">
        <v>11.8</v>
      </c>
      <c r="F7" s="55" t="inlineStr">
        <is>
          <t>Gated by premium</t>
        </is>
      </c>
      <c r="G7" s="6" t="inlineStr">
        <is>
          <t>Sunbelt Produce</t>
        </is>
      </c>
      <c r="H7" s="22" t="n">
        <v>10.5</v>
      </c>
      <c r="I7" s="22" t="n">
        <v>1.3</v>
      </c>
      <c r="J7" s="21" t="n">
        <v>5200</v>
      </c>
      <c r="K7" s="22" t="n">
        <v>6760</v>
      </c>
      <c r="L7" s="6" t="n"/>
    </row>
    <row r="8">
      <c r="A8" s="6" t="inlineStr">
        <is>
          <t>Atlanta DC</t>
        </is>
      </c>
      <c r="B8" s="6" t="inlineStr">
        <is>
          <t>Lot 1 - Grape</t>
        </is>
      </c>
      <c r="C8" s="6" t="inlineStr">
        <is>
          <t>Spring 2026</t>
        </is>
      </c>
      <c r="D8" s="6" t="inlineStr">
        <is>
          <t>Green Valley Farms</t>
        </is>
      </c>
      <c r="E8" s="22" t="n">
        <v>10.5</v>
      </c>
      <c r="F8" s="49" t="inlineStr">
        <is>
          <t>Retained — recommended</t>
        </is>
      </c>
      <c r="G8" s="6" t="inlineStr">
        <is>
          <t>Green Valley Farms</t>
        </is>
      </c>
      <c r="H8" s="22" t="n">
        <v>10.5</v>
      </c>
      <c r="I8" s="22" t="n">
        <v>0</v>
      </c>
      <c r="J8" s="21" t="n">
        <v>5200</v>
      </c>
      <c r="K8" s="22" t="n">
        <v>0</v>
      </c>
      <c r="L8" s="6" t="n"/>
    </row>
    <row r="9">
      <c r="A9" s="6" t="inlineStr">
        <is>
          <t>Dallas DC</t>
        </is>
      </c>
      <c r="B9" s="6" t="inlineStr">
        <is>
          <t>Lot 1 - Grape</t>
        </is>
      </c>
      <c r="C9" s="6" t="inlineStr">
        <is>
          <t>Spring 2026</t>
        </is>
      </c>
      <c r="D9" s="6" t="inlineStr">
        <is>
          <t>Green Valley Farms</t>
        </is>
      </c>
      <c r="E9" s="22" t="n">
        <v>10.5</v>
      </c>
      <c r="F9" s="49" t="inlineStr">
        <is>
          <t>Retained — recommended</t>
        </is>
      </c>
      <c r="G9" s="6" t="inlineStr">
        <is>
          <t>Green Valley Farms</t>
        </is>
      </c>
      <c r="H9" s="22" t="n">
        <v>10.5</v>
      </c>
      <c r="I9" s="22" t="n">
        <v>0</v>
      </c>
      <c r="J9" s="21" t="n">
        <v>5200</v>
      </c>
      <c r="K9" s="22" t="n">
        <v>0</v>
      </c>
      <c r="L9" s="6" t="n"/>
    </row>
    <row r="10">
      <c r="A10" s="25" t="inlineStr">
        <is>
          <t>RELATIONSHIP BUDGET — premium to retain every non-recommended incumbent</t>
        </is>
      </c>
      <c r="B10" s="25" t="n"/>
      <c r="C10" s="25" t="n"/>
      <c r="D10" s="25" t="n"/>
      <c r="E10" s="48" t="n"/>
      <c r="F10" s="25" t="n"/>
      <c r="G10" s="25" t="n"/>
      <c r="H10" s="48" t="n"/>
      <c r="I10" s="48" t="n"/>
      <c r="J10" s="48" t="n"/>
      <c r="K10" s="27">
        <f>SUM(K6:K9)</f>
        <v/>
      </c>
      <c r="L10" s="25" t="n"/>
    </row>
    <row r="11"/>
    <row r="12"/>
    <row r="13">
      <c r="A13" s="1" t="inlineStr">
        <is>
          <t>Incumbent picture — counts by status + the relationship budget at stake</t>
        </is>
      </c>
      <c r="B13" s="2" t="n"/>
      <c r="C13" s="2" t="n"/>
      <c r="D13" s="2" t="n"/>
      <c r="E13" s="2" t="n"/>
      <c r="F13" s="2" t="n"/>
    </row>
    <row r="14">
      <c r="A14" s="56" t="inlineStr">
        <is>
          <t>Retained — recommended (engine kept the incumbent)</t>
        </is>
      </c>
      <c r="D14" s="57" t="n">
        <v>2</v>
      </c>
    </row>
    <row r="15">
      <c r="A15" s="56" t="inlineStr">
        <is>
          <t>Eligible — not the pick (in range, lost on score)</t>
        </is>
      </c>
      <c r="D15" s="57" t="n">
        <v>0</v>
      </c>
    </row>
    <row r="16">
      <c r="A16" s="56" t="inlineStr">
        <is>
          <t>Gated by premium (over the ceiling — override to keep)</t>
        </is>
      </c>
      <c r="D16" s="57" t="n">
        <v>2</v>
      </c>
    </row>
    <row r="17">
      <c r="A17" s="56" t="inlineStr">
        <is>
          <t>No bid (incumbent did not bid)</t>
        </is>
      </c>
      <c r="D17" s="57" t="n">
        <v>0</v>
      </c>
    </row>
    <row r="18">
      <c r="A18" s="58" t="inlineStr">
        <is>
          <t>Relationship budget — premium to retain every non-recommended incumbent that bid</t>
        </is>
      </c>
      <c r="D18" s="59" t="n">
        <v>13520</v>
      </c>
    </row>
  </sheetData>
  <autoFilter ref="A5:L9"/>
  <mergeCells count="4">
    <mergeCell ref="A13:F13"/>
    <mergeCell ref="A3:L3"/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 ht="22" customHeight="1">
      <c r="A1" s="1" t="inlineStr">
        <is>
          <t>Negotiation Dynamics — are you being treated fairly? (repeated game, asym. info)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Concession = R1→Final move (more negative = conceded more) · predictable in process, flexible only where economics justify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</row>
    <row r="4"/>
    <row r="5"/>
    <row r="6" ht="30" customHeight="1">
      <c r="A6" s="4" t="inlineStr">
        <is>
          <t>Supplier</t>
        </is>
      </c>
      <c r="B6" s="4" t="inlineStr">
        <is>
          <t>Role</t>
        </is>
      </c>
      <c r="C6" s="4" t="inlineStr">
        <is>
          <t>Cells moved</t>
        </is>
      </c>
      <c r="D6" s="4" t="inlineStr">
        <is>
          <t>Avg move R1→Final</t>
        </is>
      </c>
      <c r="E6" s="4" t="inlineStr">
        <is>
          <t>Avg premium vs low</t>
        </is>
      </c>
      <c r="F6" s="4" t="inlineStr">
        <is>
          <t>Sustainability flags</t>
        </is>
      </c>
      <c r="G6" s="4" t="inlineStr">
        <is>
          <t>Negotiation read</t>
        </is>
      </c>
    </row>
    <row r="7">
      <c r="A7" s="6" t="inlineStr">
        <is>
          <t>Green Valley Farms</t>
        </is>
      </c>
      <c r="B7" s="60" t="inlineStr">
        <is>
          <t>Incumbent</t>
        </is>
      </c>
      <c r="C7" s="21" t="n">
        <v>0</v>
      </c>
      <c r="D7" s="23" t="n">
        <v>0</v>
      </c>
      <c r="E7" s="23" t="n">
        <v>0.06190476190476191</v>
      </c>
      <c r="F7" s="21" t="n">
        <v>0</v>
      </c>
      <c r="G7" s="6" t="inlineStr">
        <is>
          <t>Holding the installed base — test the leverage</t>
        </is>
      </c>
    </row>
    <row r="8">
      <c r="A8" s="6" t="inlineStr">
        <is>
          <t>Sunbelt Produce</t>
        </is>
      </c>
      <c r="B8" s="6" t="inlineStr">
        <is>
          <t>Challenger</t>
        </is>
      </c>
      <c r="C8" s="21" t="n">
        <v>0</v>
      </c>
      <c r="D8" s="23" t="n">
        <v>0</v>
      </c>
      <c r="E8" s="23" t="n">
        <v>0.06190476190476191</v>
      </c>
      <c r="F8" s="21" t="n">
        <v>0</v>
      </c>
      <c r="G8" s="6" t="inlineStr">
        <is>
          <t>Competing in line with the field</t>
        </is>
      </c>
    </row>
    <row r="9"/>
    <row r="10"/>
    <row r="11">
      <c r="A11" s="1" t="inlineStr">
        <is>
          <t>Fairness read — incumbent concession vs the field</t>
        </is>
      </c>
    </row>
    <row r="12" ht="46" customHeight="1">
      <c r="A12" s="16" t="inlineStr">
        <is>
          <t>The incumbent (0.0%) moved in line with the field (0.0%) — competitive, no obvious leverage play.</t>
        </is>
      </c>
      <c r="B12" s="53" t="n"/>
      <c r="C12" s="53" t="n"/>
      <c r="D12" s="53" t="n"/>
      <c r="E12" s="53" t="n"/>
      <c r="F12" s="53" t="n"/>
      <c r="G12" s="54" t="n"/>
    </row>
  </sheetData>
  <autoFilter ref="A6:G8"/>
  <mergeCells count="5">
    <mergeCell ref="A1:G1"/>
    <mergeCell ref="A3:G3"/>
    <mergeCell ref="A12:G12"/>
    <mergeCell ref="A2:G2"/>
    <mergeCell ref="A11:G11"/>
  </mergeCells>
  <conditionalFormatting sqref="D7:D8">
    <cfRule type="dataBar" priority="1">
      <dataBar showValue="1"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11" customWidth="1" min="5" max="5"/>
    <col width="12" customWidth="1" min="6" max="6"/>
    <col width="13" customWidth="1" min="7" max="7"/>
    <col width="12" customWidth="1" min="8" max="8"/>
    <col width="16" customWidth="1" min="9" max="9"/>
    <col width="10" customWidth="1" min="10" max="10"/>
    <col width="8" customWidth="1" min="11" max="11"/>
  </cols>
  <sheetData>
    <row r="1" ht="22" customHeight="1">
      <c r="A1" s="1" t="inlineStr">
        <is>
          <t>COVERAGE — offered vs required volume (capacity reality next to price)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Offered vs required cases → cover ratio + band. The 80% floor is the eligibility gate; Short/Critical bands flag capacity risk (advisory).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LIVE CYCLE DATA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/>
    <row r="5"/>
    <row r="6" ht="30" customHeight="1">
      <c r="A6" s="4" t="inlineStr">
        <is>
          <t>DC</t>
        </is>
      </c>
      <c r="B6" s="4" t="inlineStr">
        <is>
          <t>Lot</t>
        </is>
      </c>
      <c r="C6" s="4" t="inlineStr">
        <is>
          <t>Timeframe</t>
        </is>
      </c>
      <c r="D6" s="4" t="inlineStr">
        <is>
          <t>Supplier</t>
        </is>
      </c>
      <c r="E6" s="4" t="inlineStr">
        <is>
          <t>$/case</t>
        </is>
      </c>
      <c r="F6" s="4" t="inlineStr">
        <is>
          <t>Req (cases)</t>
        </is>
      </c>
      <c r="G6" s="4" t="inlineStr">
        <is>
          <t>Offered (cases)</t>
        </is>
      </c>
      <c r="H6" s="4" t="inlineStr">
        <is>
          <t>Cover Ratio</t>
        </is>
      </c>
      <c r="I6" s="4" t="inlineStr">
        <is>
          <t>Band</t>
        </is>
      </c>
      <c r="J6" s="4" t="inlineStr">
        <is>
          <t>Eligible?</t>
        </is>
      </c>
      <c r="K6" s="4" t="inlineStr">
        <is>
          <t>Rec?</t>
        </is>
      </c>
    </row>
    <row r="7">
      <c r="A7" s="6" t="inlineStr">
        <is>
          <t>Atlanta DC</t>
        </is>
      </c>
      <c r="B7" s="6" t="inlineStr">
        <is>
          <t>Lot 1 - Grape</t>
        </is>
      </c>
      <c r="C7" s="6" t="inlineStr">
        <is>
          <t>Spring 2026</t>
        </is>
      </c>
      <c r="D7" s="6" t="inlineStr">
        <is>
          <t>Green Valley Farms</t>
        </is>
      </c>
      <c r="E7" s="22" t="n">
        <v>10.5</v>
      </c>
      <c r="F7" s="21" t="n">
        <v>5200</v>
      </c>
      <c r="G7" s="21" t="n">
        <v>7800</v>
      </c>
      <c r="H7" s="23" t="n">
        <v>1.5</v>
      </c>
      <c r="I7" s="6" t="inlineStr">
        <is>
          <t>Surplus (&gt;120%)</t>
        </is>
      </c>
      <c r="J7" s="6" t="inlineStr">
        <is>
          <t>Yes</t>
        </is>
      </c>
      <c r="K7" s="6" t="inlineStr">
        <is>
          <t>Yes</t>
        </is>
      </c>
    </row>
    <row r="8">
      <c r="A8" s="6" t="inlineStr">
        <is>
          <t>Atlanta DC</t>
        </is>
      </c>
      <c r="B8" s="6" t="inlineStr">
        <is>
          <t>Lot 1 - Grape</t>
        </is>
      </c>
      <c r="C8" s="6" t="inlineStr">
        <is>
          <t>Spring 2026</t>
        </is>
      </c>
      <c r="D8" s="6" t="inlineStr">
        <is>
          <t>Sunbelt Produce</t>
        </is>
      </c>
      <c r="E8" s="22" t="n">
        <v>11.8</v>
      </c>
      <c r="F8" s="21" t="n">
        <v>5200</v>
      </c>
      <c r="G8" s="21" t="n">
        <v>7800</v>
      </c>
      <c r="H8" s="23" t="n">
        <v>1.5</v>
      </c>
      <c r="I8" s="6" t="inlineStr">
        <is>
          <t>Surplus (&gt;120%)</t>
        </is>
      </c>
      <c r="J8" s="6" t="inlineStr">
        <is>
          <t>No</t>
        </is>
      </c>
      <c r="K8" s="6" t="inlineStr">
        <is>
          <t>—</t>
        </is>
      </c>
    </row>
    <row r="9">
      <c r="A9" s="6" t="inlineStr">
        <is>
          <t>Atlanta DC</t>
        </is>
      </c>
      <c r="B9" s="6" t="inlineStr">
        <is>
          <t>Lot 2 - Roma</t>
        </is>
      </c>
      <c r="C9" s="6" t="inlineStr">
        <is>
          <t>Spring 2026</t>
        </is>
      </c>
      <c r="D9" s="6" t="inlineStr">
        <is>
          <t>Green Valley Farms</t>
        </is>
      </c>
      <c r="E9" s="22" t="n">
        <v>11.8</v>
      </c>
      <c r="F9" s="21" t="n">
        <v>5200</v>
      </c>
      <c r="G9" s="21" t="n">
        <v>7800</v>
      </c>
      <c r="H9" s="23" t="n">
        <v>1.5</v>
      </c>
      <c r="I9" s="6" t="inlineStr">
        <is>
          <t>Surplus (&gt;120%)</t>
        </is>
      </c>
      <c r="J9" s="6" t="inlineStr">
        <is>
          <t>No</t>
        </is>
      </c>
      <c r="K9" s="6" t="inlineStr">
        <is>
          <t>—</t>
        </is>
      </c>
    </row>
    <row r="10">
      <c r="A10" s="6" t="inlineStr">
        <is>
          <t>Atlanta DC</t>
        </is>
      </c>
      <c r="B10" s="6" t="inlineStr">
        <is>
          <t>Lot 2 - Roma</t>
        </is>
      </c>
      <c r="C10" s="6" t="inlineStr">
        <is>
          <t>Spring 2026</t>
        </is>
      </c>
      <c r="D10" s="6" t="inlineStr">
        <is>
          <t>Sunbelt Produce</t>
        </is>
      </c>
      <c r="E10" s="22" t="n">
        <v>10.5</v>
      </c>
      <c r="F10" s="21" t="n">
        <v>5200</v>
      </c>
      <c r="G10" s="21" t="n">
        <v>7800</v>
      </c>
      <c r="H10" s="23" t="n">
        <v>1.5</v>
      </c>
      <c r="I10" s="6" t="inlineStr">
        <is>
          <t>Surplus (&gt;120%)</t>
        </is>
      </c>
      <c r="J10" s="6" t="inlineStr">
        <is>
          <t>Yes</t>
        </is>
      </c>
      <c r="K10" s="6" t="inlineStr">
        <is>
          <t>Yes</t>
        </is>
      </c>
    </row>
    <row r="11">
      <c r="A11" s="6" t="inlineStr">
        <is>
          <t>Dallas DC</t>
        </is>
      </c>
      <c r="B11" s="6" t="inlineStr">
        <is>
          <t>Lot 1 - Grape</t>
        </is>
      </c>
      <c r="C11" s="6" t="inlineStr">
        <is>
          <t>Spring 2026</t>
        </is>
      </c>
      <c r="D11" s="6" t="inlineStr">
        <is>
          <t>Green Valley Farms</t>
        </is>
      </c>
      <c r="E11" s="22" t="n">
        <v>10.5</v>
      </c>
      <c r="F11" s="21" t="n">
        <v>5200</v>
      </c>
      <c r="G11" s="21" t="n">
        <v>7800</v>
      </c>
      <c r="H11" s="23" t="n">
        <v>1.5</v>
      </c>
      <c r="I11" s="6" t="inlineStr">
        <is>
          <t>Surplus (&gt;120%)</t>
        </is>
      </c>
      <c r="J11" s="6" t="inlineStr">
        <is>
          <t>Yes</t>
        </is>
      </c>
      <c r="K11" s="6" t="inlineStr">
        <is>
          <t>Yes</t>
        </is>
      </c>
    </row>
    <row r="12">
      <c r="A12" s="6" t="inlineStr">
        <is>
          <t>Dallas DC</t>
        </is>
      </c>
      <c r="B12" s="6" t="inlineStr">
        <is>
          <t>Lot 1 - Grape</t>
        </is>
      </c>
      <c r="C12" s="6" t="inlineStr">
        <is>
          <t>Spring 2026</t>
        </is>
      </c>
      <c r="D12" s="6" t="inlineStr">
        <is>
          <t>Sunbelt Produce</t>
        </is>
      </c>
      <c r="E12" s="22" t="n">
        <v>11.8</v>
      </c>
      <c r="F12" s="21" t="n">
        <v>5200</v>
      </c>
      <c r="G12" s="21" t="n">
        <v>7800</v>
      </c>
      <c r="H12" s="23" t="n">
        <v>1.5</v>
      </c>
      <c r="I12" s="6" t="inlineStr">
        <is>
          <t>Surplus (&gt;120%)</t>
        </is>
      </c>
      <c r="J12" s="6" t="inlineStr">
        <is>
          <t>No</t>
        </is>
      </c>
      <c r="K12" s="6" t="inlineStr">
        <is>
          <t>—</t>
        </is>
      </c>
    </row>
    <row r="13">
      <c r="A13" s="6" t="inlineStr">
        <is>
          <t>Dallas DC</t>
        </is>
      </c>
      <c r="B13" s="6" t="inlineStr">
        <is>
          <t>Lot 2 - Roma</t>
        </is>
      </c>
      <c r="C13" s="6" t="inlineStr">
        <is>
          <t>Spring 2026</t>
        </is>
      </c>
      <c r="D13" s="6" t="inlineStr">
        <is>
          <t>Green Valley Farms</t>
        </is>
      </c>
      <c r="E13" s="22" t="n">
        <v>11.8</v>
      </c>
      <c r="F13" s="21" t="n">
        <v>5200</v>
      </c>
      <c r="G13" s="21" t="n">
        <v>7800</v>
      </c>
      <c r="H13" s="23" t="n">
        <v>1.5</v>
      </c>
      <c r="I13" s="6" t="inlineStr">
        <is>
          <t>Surplus (&gt;120%)</t>
        </is>
      </c>
      <c r="J13" s="6" t="inlineStr">
        <is>
          <t>No</t>
        </is>
      </c>
      <c r="K13" s="6" t="inlineStr">
        <is>
          <t>—</t>
        </is>
      </c>
    </row>
    <row r="14">
      <c r="A14" s="6" t="inlineStr">
        <is>
          <t>Dallas DC</t>
        </is>
      </c>
      <c r="B14" s="6" t="inlineStr">
        <is>
          <t>Lot 2 - Roma</t>
        </is>
      </c>
      <c r="C14" s="6" t="inlineStr">
        <is>
          <t>Spring 2026</t>
        </is>
      </c>
      <c r="D14" s="6" t="inlineStr">
        <is>
          <t>Sunbelt Produce</t>
        </is>
      </c>
      <c r="E14" s="22" t="n">
        <v>10.5</v>
      </c>
      <c r="F14" s="21" t="n">
        <v>5200</v>
      </c>
      <c r="G14" s="21" t="n">
        <v>7800</v>
      </c>
      <c r="H14" s="23" t="n">
        <v>1.5</v>
      </c>
      <c r="I14" s="6" t="inlineStr">
        <is>
          <t>Surplus (&gt;120%)</t>
        </is>
      </c>
      <c r="J14" s="6" t="inlineStr">
        <is>
          <t>Yes</t>
        </is>
      </c>
      <c r="K14" s="6" t="inlineStr">
        <is>
          <t>Yes</t>
        </is>
      </c>
    </row>
  </sheetData>
  <autoFilter ref="A6:K14"/>
  <mergeCells count="3">
    <mergeCell ref="A2:K2"/>
    <mergeCell ref="A1:K1"/>
    <mergeCell ref="A3:K3"/>
  </mergeCells>
  <conditionalFormatting sqref="H7:H14">
    <cfRule type="cellIs" priority="1" operator="lessThan" dxfId="1">
      <formula>0.8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2" customWidth="1" min="4" max="4"/>
    <col width="10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10" customWidth="1" min="16" max="16"/>
    <col width="10" customWidth="1" min="17" max="17"/>
    <col width="12" customWidth="1" min="18" max="18"/>
    <col width="26" customWidth="1" min="19" max="19"/>
  </cols>
  <sheetData>
    <row r="1" ht="22" customHeight="1">
      <c r="A1" s="1" t="inlineStr">
        <is>
          <t>DETAILED SCORING — the five factors + the market stats that explain them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Per scored bid (final round). Market stats (Mkt Min/Avg, Prem vs Low, Z-Score, # bidders) explain the factor scores → RecScore. Eligible? = passed the gates. REC = Scenario B pick; INC = incumbent.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inlineStr">
        <is>
          <t>LIVE CYCLE DATA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/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Timeframe</t>
        </is>
      </c>
      <c r="D5" s="4" t="inlineStr">
        <is>
          <t>Supplier</t>
        </is>
      </c>
      <c r="E5" s="4" t="inlineStr">
        <is>
          <t>$/case</t>
        </is>
      </c>
      <c r="F5" s="4" t="inlineStr">
        <is>
          <t>Mkt Min</t>
        </is>
      </c>
      <c r="G5" s="4" t="inlineStr">
        <is>
          <t>Mkt Avg</t>
        </is>
      </c>
      <c r="H5" s="4" t="inlineStr">
        <is>
          <t>Prem vs Low</t>
        </is>
      </c>
      <c r="I5" s="4" t="inlineStr">
        <is>
          <t>Z-Score</t>
        </is>
      </c>
      <c r="J5" s="4" t="inlineStr">
        <is>
          <t># Bidders</t>
        </is>
      </c>
      <c r="K5" s="4" t="inlineStr">
        <is>
          <t>Price</t>
        </is>
      </c>
      <c r="L5" s="4" t="inlineStr">
        <is>
          <t>Cov</t>
        </is>
      </c>
      <c r="M5" s="4" t="inlineStr">
        <is>
          <t>Hist</t>
        </is>
      </c>
      <c r="N5" s="4" t="inlineStr">
        <is>
          <t>Z-Risk</t>
        </is>
      </c>
      <c r="O5" s="4" t="inlineStr">
        <is>
          <t>Cont</t>
        </is>
      </c>
      <c r="P5" s="4" t="inlineStr">
        <is>
          <t>RecScore</t>
        </is>
      </c>
      <c r="Q5" s="4" t="inlineStr">
        <is>
          <t>Eligible?</t>
        </is>
      </c>
      <c r="R5" s="4" t="inlineStr">
        <is>
          <t>Rec/Inc</t>
        </is>
      </c>
      <c r="S5" s="4" t="inlineStr">
        <is>
          <t>Gate flags</t>
        </is>
      </c>
    </row>
    <row r="6">
      <c r="A6" s="6" t="inlineStr">
        <is>
          <t>Atlanta DC</t>
        </is>
      </c>
      <c r="B6" s="6" t="inlineStr">
        <is>
          <t>Lot 1 - Grape</t>
        </is>
      </c>
      <c r="C6" s="6" t="inlineStr">
        <is>
          <t>Spring 2026</t>
        </is>
      </c>
      <c r="D6" s="6" t="inlineStr">
        <is>
          <t>Green Valley Farms</t>
        </is>
      </c>
      <c r="E6" s="22" t="n">
        <v>10.5</v>
      </c>
      <c r="F6" s="22" t="n">
        <v>10.5</v>
      </c>
      <c r="G6" s="22" t="n">
        <v>11.15</v>
      </c>
      <c r="H6" s="23" t="n">
        <v>0</v>
      </c>
      <c r="I6" s="22" t="n">
        <v>-1</v>
      </c>
      <c r="J6" s="21" t="n">
        <v>2</v>
      </c>
      <c r="K6" s="21" t="n">
        <v>100</v>
      </c>
      <c r="L6" s="21" t="n">
        <v>95</v>
      </c>
      <c r="M6" s="21" t="n">
        <v>100</v>
      </c>
      <c r="N6" s="21" t="n">
        <v>100</v>
      </c>
      <c r="O6" s="21" t="n">
        <v>100</v>
      </c>
      <c r="P6" s="21" t="n">
        <v>98.90000000000001</v>
      </c>
      <c r="Q6" s="6" t="inlineStr">
        <is>
          <t>Yes</t>
        </is>
      </c>
      <c r="R6" s="6" t="inlineStr">
        <is>
          <t>REC·INC</t>
        </is>
      </c>
      <c r="S6" s="6" t="inlineStr">
        <is>
          <t>Low bidder count (&lt;3): Z-score less reliable</t>
        </is>
      </c>
    </row>
    <row r="7">
      <c r="A7" s="6" t="inlineStr">
        <is>
          <t>Atlanta DC</t>
        </is>
      </c>
      <c r="B7" s="6" t="inlineStr">
        <is>
          <t>Lot 1 - Grape</t>
        </is>
      </c>
      <c r="C7" s="6" t="inlineStr">
        <is>
          <t>Spring 2026</t>
        </is>
      </c>
      <c r="D7" s="6" t="inlineStr">
        <is>
          <t>Sunbelt Produce</t>
        </is>
      </c>
      <c r="E7" s="22" t="n">
        <v>11.8</v>
      </c>
      <c r="F7" s="22" t="n">
        <v>10.5</v>
      </c>
      <c r="G7" s="22" t="n">
        <v>11.15</v>
      </c>
      <c r="H7" s="23" t="n">
        <v>0.1238095238095238</v>
      </c>
      <c r="I7" s="22" t="n">
        <v>1</v>
      </c>
      <c r="J7" s="21" t="n">
        <v>2</v>
      </c>
      <c r="K7" s="21" t="n">
        <v>20</v>
      </c>
      <c r="L7" s="21" t="n">
        <v>95</v>
      </c>
      <c r="M7" s="21" t="n">
        <v>100</v>
      </c>
      <c r="N7" s="21" t="n">
        <v>100</v>
      </c>
      <c r="O7" s="21" t="n">
        <v>0</v>
      </c>
      <c r="P7" s="21" t="n">
        <v>54.1</v>
      </c>
      <c r="Q7" s="6" t="inlineStr">
        <is>
          <t>No</t>
        </is>
      </c>
      <c r="R7" s="6" t="inlineStr">
        <is>
          <t>—</t>
        </is>
      </c>
      <c r="S7" s="6" t="inlineStr">
        <is>
          <t>Price premium exceeds threshold; Low bidder count (&lt;3): Z-score less reliable</t>
        </is>
      </c>
    </row>
    <row r="8">
      <c r="A8" s="6" t="inlineStr">
        <is>
          <t>Atlanta DC</t>
        </is>
      </c>
      <c r="B8" s="6" t="inlineStr">
        <is>
          <t>Lot 2 - Roma</t>
        </is>
      </c>
      <c r="C8" s="6" t="inlineStr">
        <is>
          <t>Spring 2026</t>
        </is>
      </c>
      <c r="D8" s="6" t="inlineStr">
        <is>
          <t>Sunbelt Produce</t>
        </is>
      </c>
      <c r="E8" s="22" t="n">
        <v>10.5</v>
      </c>
      <c r="F8" s="22" t="n">
        <v>10.5</v>
      </c>
      <c r="G8" s="22" t="n">
        <v>11.15</v>
      </c>
      <c r="H8" s="23" t="n">
        <v>0</v>
      </c>
      <c r="I8" s="22" t="n">
        <v>-1</v>
      </c>
      <c r="J8" s="21" t="n">
        <v>2</v>
      </c>
      <c r="K8" s="21" t="n">
        <v>100</v>
      </c>
      <c r="L8" s="21" t="n">
        <v>95</v>
      </c>
      <c r="M8" s="21" t="n">
        <v>100</v>
      </c>
      <c r="N8" s="21" t="n">
        <v>100</v>
      </c>
      <c r="O8" s="21" t="n">
        <v>0</v>
      </c>
      <c r="P8" s="21" t="n">
        <v>78.90000000000001</v>
      </c>
      <c r="Q8" s="6" t="inlineStr">
        <is>
          <t>Yes</t>
        </is>
      </c>
      <c r="R8" s="6" t="inlineStr">
        <is>
          <t>REC</t>
        </is>
      </c>
      <c r="S8" s="6" t="inlineStr">
        <is>
          <t>Low bidder count (&lt;3): Z-score less reliable</t>
        </is>
      </c>
    </row>
    <row r="9">
      <c r="A9" s="6" t="inlineStr">
        <is>
          <t>Atlanta DC</t>
        </is>
      </c>
      <c r="B9" s="6" t="inlineStr">
        <is>
          <t>Lot 2 - Roma</t>
        </is>
      </c>
      <c r="C9" s="6" t="inlineStr">
        <is>
          <t>Spring 2026</t>
        </is>
      </c>
      <c r="D9" s="6" t="inlineStr">
        <is>
          <t>Green Valley Farms</t>
        </is>
      </c>
      <c r="E9" s="22" t="n">
        <v>11.8</v>
      </c>
      <c r="F9" s="22" t="n">
        <v>10.5</v>
      </c>
      <c r="G9" s="22" t="n">
        <v>11.15</v>
      </c>
      <c r="H9" s="23" t="n">
        <v>0.1238095238095238</v>
      </c>
      <c r="I9" s="22" t="n">
        <v>1</v>
      </c>
      <c r="J9" s="21" t="n">
        <v>2</v>
      </c>
      <c r="K9" s="21" t="n">
        <v>20</v>
      </c>
      <c r="L9" s="21" t="n">
        <v>95</v>
      </c>
      <c r="M9" s="21" t="n">
        <v>100</v>
      </c>
      <c r="N9" s="21" t="n">
        <v>100</v>
      </c>
      <c r="O9" s="21" t="n">
        <v>100</v>
      </c>
      <c r="P9" s="21" t="n">
        <v>74.09999999999999</v>
      </c>
      <c r="Q9" s="6" t="inlineStr">
        <is>
          <t>No</t>
        </is>
      </c>
      <c r="R9" s="6" t="inlineStr">
        <is>
          <t>INC</t>
        </is>
      </c>
      <c r="S9" s="6" t="inlineStr">
        <is>
          <t>Price premium exceeds threshold; Low bidder count (&lt;3): Z-score less reliable</t>
        </is>
      </c>
    </row>
    <row r="10">
      <c r="A10" s="6" t="inlineStr">
        <is>
          <t>Dallas DC</t>
        </is>
      </c>
      <c r="B10" s="6" t="inlineStr">
        <is>
          <t>Lot 1 - Grape</t>
        </is>
      </c>
      <c r="C10" s="6" t="inlineStr">
        <is>
          <t>Spring 2026</t>
        </is>
      </c>
      <c r="D10" s="6" t="inlineStr">
        <is>
          <t>Green Valley Farms</t>
        </is>
      </c>
      <c r="E10" s="22" t="n">
        <v>10.5</v>
      </c>
      <c r="F10" s="22" t="n">
        <v>10.5</v>
      </c>
      <c r="G10" s="22" t="n">
        <v>11.15</v>
      </c>
      <c r="H10" s="23" t="n">
        <v>0</v>
      </c>
      <c r="I10" s="22" t="n">
        <v>-1</v>
      </c>
      <c r="J10" s="21" t="n">
        <v>2</v>
      </c>
      <c r="K10" s="21" t="n">
        <v>100</v>
      </c>
      <c r="L10" s="21" t="n">
        <v>95</v>
      </c>
      <c r="M10" s="21" t="n">
        <v>100</v>
      </c>
      <c r="N10" s="21" t="n">
        <v>100</v>
      </c>
      <c r="O10" s="21" t="n">
        <v>100</v>
      </c>
      <c r="P10" s="21" t="n">
        <v>98.90000000000001</v>
      </c>
      <c r="Q10" s="6" t="inlineStr">
        <is>
          <t>Yes</t>
        </is>
      </c>
      <c r="R10" s="6" t="inlineStr">
        <is>
          <t>REC·INC</t>
        </is>
      </c>
      <c r="S10" s="6" t="inlineStr">
        <is>
          <t>Low bidder count (&lt;3): Z-score less reliable</t>
        </is>
      </c>
    </row>
    <row r="11">
      <c r="A11" s="6" t="inlineStr">
        <is>
          <t>Dallas DC</t>
        </is>
      </c>
      <c r="B11" s="6" t="inlineStr">
        <is>
          <t>Lot 1 - Grape</t>
        </is>
      </c>
      <c r="C11" s="6" t="inlineStr">
        <is>
          <t>Spring 2026</t>
        </is>
      </c>
      <c r="D11" s="6" t="inlineStr">
        <is>
          <t>Sunbelt Produce</t>
        </is>
      </c>
      <c r="E11" s="22" t="n">
        <v>11.8</v>
      </c>
      <c r="F11" s="22" t="n">
        <v>10.5</v>
      </c>
      <c r="G11" s="22" t="n">
        <v>11.15</v>
      </c>
      <c r="H11" s="23" t="n">
        <v>0.1238095238095238</v>
      </c>
      <c r="I11" s="22" t="n">
        <v>1</v>
      </c>
      <c r="J11" s="21" t="n">
        <v>2</v>
      </c>
      <c r="K11" s="21" t="n">
        <v>20</v>
      </c>
      <c r="L11" s="21" t="n">
        <v>95</v>
      </c>
      <c r="M11" s="21" t="n">
        <v>100</v>
      </c>
      <c r="N11" s="21" t="n">
        <v>100</v>
      </c>
      <c r="O11" s="21" t="n">
        <v>0</v>
      </c>
      <c r="P11" s="21" t="n">
        <v>54.1</v>
      </c>
      <c r="Q11" s="6" t="inlineStr">
        <is>
          <t>No</t>
        </is>
      </c>
      <c r="R11" s="6" t="inlineStr">
        <is>
          <t>—</t>
        </is>
      </c>
      <c r="S11" s="6" t="inlineStr">
        <is>
          <t>Price premium exceeds threshold; Low bidder count (&lt;3): Z-score less reliable</t>
        </is>
      </c>
    </row>
    <row r="12">
      <c r="A12" s="6" t="inlineStr">
        <is>
          <t>Dallas DC</t>
        </is>
      </c>
      <c r="B12" s="6" t="inlineStr">
        <is>
          <t>Lot 2 - Roma</t>
        </is>
      </c>
      <c r="C12" s="6" t="inlineStr">
        <is>
          <t>Spring 2026</t>
        </is>
      </c>
      <c r="D12" s="6" t="inlineStr">
        <is>
          <t>Sunbelt Produce</t>
        </is>
      </c>
      <c r="E12" s="22" t="n">
        <v>10.5</v>
      </c>
      <c r="F12" s="22" t="n">
        <v>10.5</v>
      </c>
      <c r="G12" s="22" t="n">
        <v>11.15</v>
      </c>
      <c r="H12" s="23" t="n">
        <v>0</v>
      </c>
      <c r="I12" s="22" t="n">
        <v>-1</v>
      </c>
      <c r="J12" s="21" t="n">
        <v>2</v>
      </c>
      <c r="K12" s="21" t="n">
        <v>100</v>
      </c>
      <c r="L12" s="21" t="n">
        <v>95</v>
      </c>
      <c r="M12" s="21" t="n">
        <v>100</v>
      </c>
      <c r="N12" s="21" t="n">
        <v>100</v>
      </c>
      <c r="O12" s="21" t="n">
        <v>0</v>
      </c>
      <c r="P12" s="21" t="n">
        <v>78.90000000000001</v>
      </c>
      <c r="Q12" s="6" t="inlineStr">
        <is>
          <t>Yes</t>
        </is>
      </c>
      <c r="R12" s="6" t="inlineStr">
        <is>
          <t>REC</t>
        </is>
      </c>
      <c r="S12" s="6" t="inlineStr">
        <is>
          <t>Low bidder count (&lt;3): Z-score less reliable</t>
        </is>
      </c>
    </row>
    <row r="13">
      <c r="A13" s="6" t="inlineStr">
        <is>
          <t>Dallas DC</t>
        </is>
      </c>
      <c r="B13" s="6" t="inlineStr">
        <is>
          <t>Lot 2 - Roma</t>
        </is>
      </c>
      <c r="C13" s="6" t="inlineStr">
        <is>
          <t>Spring 2026</t>
        </is>
      </c>
      <c r="D13" s="6" t="inlineStr">
        <is>
          <t>Green Valley Farms</t>
        </is>
      </c>
      <c r="E13" s="22" t="n">
        <v>11.8</v>
      </c>
      <c r="F13" s="22" t="n">
        <v>10.5</v>
      </c>
      <c r="G13" s="22" t="n">
        <v>11.15</v>
      </c>
      <c r="H13" s="23" t="n">
        <v>0.1238095238095238</v>
      </c>
      <c r="I13" s="22" t="n">
        <v>1</v>
      </c>
      <c r="J13" s="21" t="n">
        <v>2</v>
      </c>
      <c r="K13" s="21" t="n">
        <v>20</v>
      </c>
      <c r="L13" s="21" t="n">
        <v>95</v>
      </c>
      <c r="M13" s="21" t="n">
        <v>100</v>
      </c>
      <c r="N13" s="21" t="n">
        <v>100</v>
      </c>
      <c r="O13" s="21" t="n">
        <v>100</v>
      </c>
      <c r="P13" s="21" t="n">
        <v>74.09999999999999</v>
      </c>
      <c r="Q13" s="6" t="inlineStr">
        <is>
          <t>No</t>
        </is>
      </c>
      <c r="R13" s="6" t="inlineStr">
        <is>
          <t>INC</t>
        </is>
      </c>
      <c r="S13" s="6" t="inlineStr">
        <is>
          <t>Price premium exceeds threshold; Low bidder count (&lt;3): Z-score less reliable</t>
        </is>
      </c>
    </row>
  </sheetData>
  <autoFilter ref="A5:S13"/>
  <mergeCells count="3">
    <mergeCell ref="A3:S3"/>
    <mergeCell ref="A2:S2"/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70" customWidth="1" min="3" max="3"/>
  </cols>
  <sheetData>
    <row r="1" ht="22" customHeight="1">
      <c r="A1" s="1" t="inlineStr">
        <is>
          <t>DATA QUALITY — surfaced, never hidden, never fatal</t>
        </is>
      </c>
      <c r="B1" s="2" t="n"/>
      <c r="C1" s="2" t="n"/>
    </row>
    <row r="2">
      <c r="A2" s="3" t="inlineStr">
        <is>
          <t>The data-quality conditions the team should see before aligning. All non-blocking (decision-support) — the run completes and recommends; the human reviews these.</t>
        </is>
      </c>
      <c r="B2" s="2" t="n"/>
      <c r="C2" s="2" t="n"/>
    </row>
    <row r="3">
      <c r="A3" s="3" t="inlineStr">
        <is>
          <t>LIVE CYCLE DATA · DECISION-SUPPORT — recommends, does not assert</t>
        </is>
      </c>
      <c r="B3" s="2" t="n"/>
      <c r="C3" s="2" t="n"/>
    </row>
    <row r="4"/>
    <row r="5"/>
    <row r="6" ht="30" customHeight="1">
      <c r="A6" s="4" t="inlineStr">
        <is>
          <t>Flag</t>
        </is>
      </c>
      <c r="B6" s="4" t="inlineStr">
        <is>
          <t>Count</t>
        </is>
      </c>
      <c r="C6" s="4" t="inlineStr">
        <is>
          <t>Detail / Action</t>
        </is>
      </c>
    </row>
    <row r="7" ht="42" customHeight="1">
      <c r="A7" s="6" t="inlineStr">
        <is>
          <t>No-bid cells (supplier × cell with no priced bid)</t>
        </is>
      </c>
      <c r="B7" s="21" t="n">
        <v>0</v>
      </c>
      <c r="C7" s="6" t="inlineStr">
        <is>
          <t>Suppliers that did not price a cell. Expected (suppliers decline cells); the cell is still scored from those who bid. Non-blocking.</t>
        </is>
      </c>
    </row>
    <row r="8" ht="42" customHeight="1">
      <c r="A8" s="6" t="inlineStr">
        <is>
          <t>Thin-competition cells (&lt;3 bidders)</t>
        </is>
      </c>
      <c r="B8" s="21" t="n">
        <v>4</v>
      </c>
      <c r="C8" s="6" t="inlineStr">
        <is>
          <t>Cells with fewer than 3 priced bids — the Z-score is less reliable; advisory flag, the bid stays eligible.</t>
        </is>
      </c>
    </row>
    <row r="9" ht="42" customHeight="1">
      <c r="A9" s="6" t="inlineStr">
        <is>
          <t>Bids carrying an advisory gate flag</t>
        </is>
      </c>
      <c r="B9" s="21" t="n">
        <v>8</v>
      </c>
      <c r="C9" s="6" t="inlineStr">
        <is>
          <t>Outlier / low-bidder-count notes accumulated in gate_flags. Advisory — does not by itself make a bid ineligible.</t>
        </is>
      </c>
    </row>
    <row r="10" ht="42" customHeight="1">
      <c r="A10" s="6" t="inlineStr">
        <is>
          <t>Bids gated ineligible</t>
        </is>
      </c>
      <c r="B10" s="21" t="n">
        <v>4</v>
      </c>
      <c r="C10" s="6" t="inlineStr">
        <is>
          <t>Failed a hard gate (no valid price / premium over ceiling / coverage &lt; floor). Scored but not awardable. Recommends-not-asserts: surfaced for review.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6" customWidth="1" min="3" max="3"/>
    <col width="12" customWidth="1" min="4" max="4"/>
    <col width="18" customWidth="1" min="6" max="6"/>
    <col width="12" customWidth="1" min="7" max="7"/>
    <col width="16" customWidth="1" min="8" max="8"/>
    <col width="14" customWidth="1" min="9" max="9"/>
  </cols>
  <sheetData>
    <row r="1">
      <c r="A1" t="inlineStr">
        <is>
          <t>Match Key</t>
        </is>
      </c>
      <c r="B1" t="inlineStr">
        <is>
          <t>Cell Key</t>
        </is>
      </c>
      <c r="C1" t="inlineStr">
        <is>
          <t>Supplier</t>
        </is>
      </c>
      <c r="D1" t="inlineStr">
        <is>
          <t>$/case</t>
        </is>
      </c>
      <c r="E1" t="inlineStr">
        <is>
          <t>Transit (days)</t>
        </is>
      </c>
      <c r="F1" t="inlineStr">
        <is>
          <t>Cell Key</t>
        </is>
      </c>
      <c r="G1" t="inlineStr">
        <is>
          <t>Min $/case</t>
        </is>
      </c>
      <c r="H1" t="inlineStr">
        <is>
          <t>Incumbent $/case</t>
        </is>
      </c>
      <c r="I1" t="inlineStr">
        <is>
          <t>Baseline $/case</t>
        </is>
      </c>
    </row>
    <row r="2">
      <c r="A2" t="inlineStr">
        <is>
          <t>DC01|LOT-01|TF01@Green Valley Farms</t>
        </is>
      </c>
      <c r="B2" t="inlineStr">
        <is>
          <t>DC01|LOT-01|TF01</t>
        </is>
      </c>
      <c r="C2" t="inlineStr">
        <is>
          <t>Green Valley Farms</t>
        </is>
      </c>
      <c r="D2" s="61" t="n">
        <v>10.5</v>
      </c>
      <c r="F2" t="inlineStr">
        <is>
          <t>DC01|LOT-01|TF01</t>
        </is>
      </c>
      <c r="G2" s="61" t="n">
        <v>10.5</v>
      </c>
      <c r="H2" s="61" t="n">
        <v>10.5</v>
      </c>
      <c r="I2" s="61" t="n">
        <v>13.5</v>
      </c>
    </row>
    <row r="3">
      <c r="A3" t="inlineStr">
        <is>
          <t>DC01|LOT-01|TF01@Sunbelt Produce</t>
        </is>
      </c>
      <c r="B3" t="inlineStr">
        <is>
          <t>DC01|LOT-01|TF01</t>
        </is>
      </c>
      <c r="C3" t="inlineStr">
        <is>
          <t>Sunbelt Produce</t>
        </is>
      </c>
      <c r="D3" s="61" t="n">
        <v>11.8</v>
      </c>
      <c r="F3" t="inlineStr">
        <is>
          <t>DC01|LOT-02|TF01</t>
        </is>
      </c>
      <c r="G3" s="61" t="n">
        <v>10.5</v>
      </c>
      <c r="H3" s="61" t="n">
        <v>11.8</v>
      </c>
      <c r="I3" s="61" t="n">
        <v>13.5</v>
      </c>
    </row>
    <row r="4">
      <c r="A4" t="inlineStr">
        <is>
          <t>DC01|LOT-02|TF01@Green Valley Farms</t>
        </is>
      </c>
      <c r="B4" t="inlineStr">
        <is>
          <t>DC01|LOT-02|TF01</t>
        </is>
      </c>
      <c r="C4" t="inlineStr">
        <is>
          <t>Green Valley Farms</t>
        </is>
      </c>
      <c r="D4" s="61" t="n">
        <v>11.8</v>
      </c>
      <c r="F4" t="inlineStr">
        <is>
          <t>DC02|LOT-01|TF01</t>
        </is>
      </c>
      <c r="G4" s="61" t="n">
        <v>10.5</v>
      </c>
      <c r="H4" s="61" t="n">
        <v>10.5</v>
      </c>
      <c r="I4" s="61" t="n">
        <v>13.5</v>
      </c>
    </row>
    <row r="5">
      <c r="A5" t="inlineStr">
        <is>
          <t>DC01|LOT-02|TF01@Sunbelt Produce</t>
        </is>
      </c>
      <c r="B5" t="inlineStr">
        <is>
          <t>DC01|LOT-02|TF01</t>
        </is>
      </c>
      <c r="C5" t="inlineStr">
        <is>
          <t>Sunbelt Produce</t>
        </is>
      </c>
      <c r="D5" s="61" t="n">
        <v>10.5</v>
      </c>
      <c r="F5" t="inlineStr">
        <is>
          <t>DC02|LOT-02|TF01</t>
        </is>
      </c>
      <c r="G5" s="61" t="n">
        <v>10.5</v>
      </c>
      <c r="H5" s="61" t="n">
        <v>11.8</v>
      </c>
      <c r="I5" s="61" t="n">
        <v>13.5</v>
      </c>
    </row>
    <row r="6">
      <c r="A6" t="inlineStr">
        <is>
          <t>DC02|LOT-01|TF01@Green Valley Farms</t>
        </is>
      </c>
      <c r="B6" t="inlineStr">
        <is>
          <t>DC02|LOT-01|TF01</t>
        </is>
      </c>
      <c r="C6" t="inlineStr">
        <is>
          <t>Green Valley Farms</t>
        </is>
      </c>
      <c r="D6" s="61" t="n">
        <v>10.5</v>
      </c>
    </row>
    <row r="7">
      <c r="A7" t="inlineStr">
        <is>
          <t>DC02|LOT-01|TF01@Sunbelt Produce</t>
        </is>
      </c>
      <c r="B7" t="inlineStr">
        <is>
          <t>DC02|LOT-01|TF01</t>
        </is>
      </c>
      <c r="C7" t="inlineStr">
        <is>
          <t>Sunbelt Produce</t>
        </is>
      </c>
      <c r="D7" s="61" t="n">
        <v>11.8</v>
      </c>
    </row>
    <row r="8">
      <c r="A8" t="inlineStr">
        <is>
          <t>DC02|LOT-02|TF01@Green Valley Farms</t>
        </is>
      </c>
      <c r="B8" t="inlineStr">
        <is>
          <t>DC02|LOT-02|TF01</t>
        </is>
      </c>
      <c r="C8" t="inlineStr">
        <is>
          <t>Green Valley Farms</t>
        </is>
      </c>
      <c r="D8" s="61" t="n">
        <v>11.8</v>
      </c>
    </row>
    <row r="9">
      <c r="A9" t="inlineStr">
        <is>
          <t>DC02|LOT-02|TF01@Sunbelt Produce</t>
        </is>
      </c>
      <c r="B9" t="inlineStr">
        <is>
          <t>DC02|LOT-02|TF01</t>
        </is>
      </c>
      <c r="C9" t="inlineStr">
        <is>
          <t>Sunbelt Produce</t>
        </is>
      </c>
      <c r="D9" s="61" t="n">
        <v>10.5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6" customWidth="1" min="4" max="4"/>
    <col width="24" customWidth="1" min="5" max="5"/>
    <col width="13" customWidth="1" min="6" max="6"/>
    <col width="12" customWidth="1" min="7" max="7"/>
    <col width="14" customWidth="1" min="8" max="8"/>
    <col width="14" customWidth="1" min="9" max="9"/>
    <col width="13" customWidth="1" min="10" max="10"/>
    <col width="16" customWidth="1" min="11" max="11"/>
    <col width="14" customWidth="1" min="12" max="12"/>
    <col width="16" customWidth="1" min="13" max="13"/>
    <col width="14" customWidth="1" min="14" max="14"/>
  </cols>
  <sheetData>
    <row r="1" ht="22" customHeight="1">
      <c r="A1" s="1" t="inlineStr">
        <is>
          <t>CUSTOM SCENARIO — override the supplier per cell, watch it recompute LIVE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▶ Change the Supplier dropdown on any row — $/case, vs Min/Incumbent/Baseline, Total Spend, Savings + Cap-Breach all update live.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Opens on Scenario B's recommendation. Dropdown lists only the eligible suppliers for that cell (by name). Grounded in the Supplier Comparison.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LIVE CYCLE DATA · max 2 suppliers/DC · DECISION-SUPPORT — recommends, does not assert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/>
    <row r="6" ht="30" customHeight="1">
      <c r="A6" s="4" t="inlineStr">
        <is>
          <t>DC</t>
        </is>
      </c>
      <c r="B6" s="4" t="inlineStr">
        <is>
          <t>Lot</t>
        </is>
      </c>
      <c r="C6" s="4" t="inlineStr">
        <is>
          <t>Item</t>
        </is>
      </c>
      <c r="D6" s="4" t="inlineStr">
        <is>
          <t>Timeframe</t>
        </is>
      </c>
      <c r="E6" s="4" t="inlineStr">
        <is>
          <t>Supplier (change me ▼)</t>
        </is>
      </c>
      <c r="F6" s="4" t="inlineStr">
        <is>
          <t>$/case (live)</t>
        </is>
      </c>
      <c r="G6" s="4" t="inlineStr">
        <is>
          <t>vs Min (live)</t>
        </is>
      </c>
      <c r="H6" s="4" t="inlineStr">
        <is>
          <t>vs Incumbent (live)</t>
        </is>
      </c>
      <c r="I6" s="4" t="inlineStr">
        <is>
          <t>vs Baseline (live)</t>
        </is>
      </c>
      <c r="J6" s="4" t="inlineStr">
        <is>
          <t>Volume (cases)</t>
        </is>
      </c>
      <c r="K6" s="4" t="inlineStr">
        <is>
          <t>Line Spend (live)</t>
        </is>
      </c>
      <c r="L6" s="4" t="inlineStr">
        <is>
          <t>Baseline $/case</t>
        </is>
      </c>
      <c r="M6" s="4" t="inlineStr">
        <is>
          <t>Cell Key</t>
        </is>
      </c>
      <c r="N6" s="4" t="inlineStr">
        <is>
          <t>Transit days (live)</t>
        </is>
      </c>
    </row>
    <row r="7">
      <c r="A7" s="6" t="inlineStr">
        <is>
          <t>Atlanta DC</t>
        </is>
      </c>
      <c r="B7" s="6" t="inlineStr">
        <is>
          <t>Lot 1 - Grape</t>
        </is>
      </c>
      <c r="C7" s="6" t="inlineStr">
        <is>
          <t>Premium Grape Tomato 10oz</t>
        </is>
      </c>
      <c r="D7" s="6" t="inlineStr">
        <is>
          <t>Spring 2026</t>
        </is>
      </c>
      <c r="E7" s="6" t="inlineStr">
        <is>
          <t>Green Valley Farms</t>
        </is>
      </c>
      <c r="F7" s="22">
        <f>SUMIFS('_Prices'!$D:$D,'_Prices'!$A:$A,M7&amp;"@"&amp;E7)</f>
        <v/>
      </c>
      <c r="G7" s="23">
        <f>IF(SUMIFS('_Prices'!$G:$G,'_Prices'!$F:$F,M7)=0,0,(F7-SUMIFS('_Prices'!$G:$G,'_Prices'!$F:$F,M7))/SUMIFS('_Prices'!$G:$G,'_Prices'!$F:$F,M7))</f>
        <v/>
      </c>
      <c r="H7" s="23">
        <f>IF(SUMIFS('_Prices'!$H:$H,'_Prices'!$F:$F,M7)=0,0,(F7-SUMIFS('_Prices'!$H:$H,'_Prices'!$F:$F,M7))/SUMIFS('_Prices'!$H:$H,'_Prices'!$F:$F,M7))</f>
        <v/>
      </c>
      <c r="I7" s="23">
        <f>IF(L7=0,0,(F7-L7)/L7)</f>
        <v/>
      </c>
      <c r="J7" s="21" t="n">
        <v>5200</v>
      </c>
      <c r="K7" s="22">
        <f>F7*J7</f>
        <v/>
      </c>
      <c r="L7" s="22" t="n">
        <v>13.5</v>
      </c>
      <c r="M7" s="6" t="inlineStr">
        <is>
          <t>DC01|LOT-01|TF01</t>
        </is>
      </c>
      <c r="N7" s="21">
        <f>SUMIFS('_Prices'!$E:$E,'_Prices'!$A:$A,M7&amp;"@"&amp;E7)</f>
        <v/>
      </c>
    </row>
    <row r="8">
      <c r="A8" s="6" t="inlineStr">
        <is>
          <t>Atlanta DC</t>
        </is>
      </c>
      <c r="B8" s="6" t="inlineStr">
        <is>
          <t>Lot 2 - Roma</t>
        </is>
      </c>
      <c r="C8" s="6" t="inlineStr">
        <is>
          <t>Roma Tomato Bulk 25lb</t>
        </is>
      </c>
      <c r="D8" s="6" t="inlineStr">
        <is>
          <t>Spring 2026</t>
        </is>
      </c>
      <c r="E8" s="6" t="inlineStr">
        <is>
          <t>Sunbelt Produce</t>
        </is>
      </c>
      <c r="F8" s="22">
        <f>SUMIFS('_Prices'!$D:$D,'_Prices'!$A:$A,M8&amp;"@"&amp;E8)</f>
        <v/>
      </c>
      <c r="G8" s="23">
        <f>IF(SUMIFS('_Prices'!$G:$G,'_Prices'!$F:$F,M8)=0,0,(F8-SUMIFS('_Prices'!$G:$G,'_Prices'!$F:$F,M8))/SUMIFS('_Prices'!$G:$G,'_Prices'!$F:$F,M8))</f>
        <v/>
      </c>
      <c r="H8" s="23">
        <f>IF(SUMIFS('_Prices'!$H:$H,'_Prices'!$F:$F,M8)=0,0,(F8-SUMIFS('_Prices'!$H:$H,'_Prices'!$F:$F,M8))/SUMIFS('_Prices'!$H:$H,'_Prices'!$F:$F,M8))</f>
        <v/>
      </c>
      <c r="I8" s="23">
        <f>IF(L8=0,0,(F8-L8)/L8)</f>
        <v/>
      </c>
      <c r="J8" s="21" t="n">
        <v>5200</v>
      </c>
      <c r="K8" s="22">
        <f>F8*J8</f>
        <v/>
      </c>
      <c r="L8" s="22" t="n">
        <v>13.5</v>
      </c>
      <c r="M8" s="6" t="inlineStr">
        <is>
          <t>DC01|LOT-02|TF01</t>
        </is>
      </c>
      <c r="N8" s="21">
        <f>SUMIFS('_Prices'!$E:$E,'_Prices'!$A:$A,M8&amp;"@"&amp;E8)</f>
        <v/>
      </c>
    </row>
    <row r="9">
      <c r="A9" s="6" t="inlineStr">
        <is>
          <t>Dallas DC</t>
        </is>
      </c>
      <c r="B9" s="6" t="inlineStr">
        <is>
          <t>Lot 1 - Grape</t>
        </is>
      </c>
      <c r="C9" s="6" t="inlineStr">
        <is>
          <t>Premium Grape Tomato 10oz</t>
        </is>
      </c>
      <c r="D9" s="6" t="inlineStr">
        <is>
          <t>Spring 2026</t>
        </is>
      </c>
      <c r="E9" s="6" t="inlineStr">
        <is>
          <t>Green Valley Farms</t>
        </is>
      </c>
      <c r="F9" s="22">
        <f>SUMIFS('_Prices'!$D:$D,'_Prices'!$A:$A,M9&amp;"@"&amp;E9)</f>
        <v/>
      </c>
      <c r="G9" s="23">
        <f>IF(SUMIFS('_Prices'!$G:$G,'_Prices'!$F:$F,M9)=0,0,(F9-SUMIFS('_Prices'!$G:$G,'_Prices'!$F:$F,M9))/SUMIFS('_Prices'!$G:$G,'_Prices'!$F:$F,M9))</f>
        <v/>
      </c>
      <c r="H9" s="23">
        <f>IF(SUMIFS('_Prices'!$H:$H,'_Prices'!$F:$F,M9)=0,0,(F9-SUMIFS('_Prices'!$H:$H,'_Prices'!$F:$F,M9))/SUMIFS('_Prices'!$H:$H,'_Prices'!$F:$F,M9))</f>
        <v/>
      </c>
      <c r="I9" s="23">
        <f>IF(L9=0,0,(F9-L9)/L9)</f>
        <v/>
      </c>
      <c r="J9" s="21" t="n">
        <v>5200</v>
      </c>
      <c r="K9" s="22">
        <f>F9*J9</f>
        <v/>
      </c>
      <c r="L9" s="22" t="n">
        <v>13.5</v>
      </c>
      <c r="M9" s="6" t="inlineStr">
        <is>
          <t>DC02|LOT-01|TF01</t>
        </is>
      </c>
      <c r="N9" s="21">
        <f>SUMIFS('_Prices'!$E:$E,'_Prices'!$A:$A,M9&amp;"@"&amp;E9)</f>
        <v/>
      </c>
    </row>
    <row r="10">
      <c r="A10" s="6" t="inlineStr">
        <is>
          <t>Dallas DC</t>
        </is>
      </c>
      <c r="B10" s="6" t="inlineStr">
        <is>
          <t>Lot 2 - Roma</t>
        </is>
      </c>
      <c r="C10" s="6" t="inlineStr">
        <is>
          <t>Roma Tomato Bulk 25lb</t>
        </is>
      </c>
      <c r="D10" s="6" t="inlineStr">
        <is>
          <t>Spring 2026</t>
        </is>
      </c>
      <c r="E10" s="6" t="inlineStr">
        <is>
          <t>Sunbelt Produce</t>
        </is>
      </c>
      <c r="F10" s="22">
        <f>SUMIFS('_Prices'!$D:$D,'_Prices'!$A:$A,M10&amp;"@"&amp;E10)</f>
        <v/>
      </c>
      <c r="G10" s="23">
        <f>IF(SUMIFS('_Prices'!$G:$G,'_Prices'!$F:$F,M10)=0,0,(F10-SUMIFS('_Prices'!$G:$G,'_Prices'!$F:$F,M10))/SUMIFS('_Prices'!$G:$G,'_Prices'!$F:$F,M10))</f>
        <v/>
      </c>
      <c r="H10" s="23">
        <f>IF(SUMIFS('_Prices'!$H:$H,'_Prices'!$F:$F,M10)=0,0,(F10-SUMIFS('_Prices'!$H:$H,'_Prices'!$F:$F,M10))/SUMIFS('_Prices'!$H:$H,'_Prices'!$F:$F,M10))</f>
        <v/>
      </c>
      <c r="I10" s="23">
        <f>IF(L10=0,0,(F10-L10)/L10)</f>
        <v/>
      </c>
      <c r="J10" s="21" t="n">
        <v>5200</v>
      </c>
      <c r="K10" s="22">
        <f>F10*J10</f>
        <v/>
      </c>
      <c r="L10" s="22" t="n">
        <v>13.5</v>
      </c>
      <c r="M10" s="6" t="inlineStr">
        <is>
          <t>DC02|LOT-02|TF01</t>
        </is>
      </c>
      <c r="N10" s="21">
        <f>SUMIFS('_Prices'!$E:$E,'_Prices'!$A:$A,M10&amp;"@"&amp;E10)</f>
        <v/>
      </c>
    </row>
    <row r="11">
      <c r="A11" s="25" t="inlineStr">
        <is>
          <t>TOTAL (live)</t>
        </is>
      </c>
      <c r="B11" s="25" t="n"/>
      <c r="C11" s="25" t="n"/>
      <c r="D11" s="25" t="n"/>
      <c r="E11" s="25" t="n"/>
      <c r="F11" s="48" t="n"/>
      <c r="G11" s="48" t="n"/>
      <c r="H11" s="48" t="n"/>
      <c r="I11" s="48" t="n"/>
      <c r="J11" s="26">
        <f>SUM(J7:J10)</f>
        <v/>
      </c>
      <c r="K11" s="27">
        <f>SUM(K7:K10)</f>
        <v/>
      </c>
      <c r="L11" s="48" t="n"/>
      <c r="M11" s="25" t="n"/>
      <c r="N11" s="48" t="n"/>
    </row>
    <row r="12"/>
    <row r="13">
      <c r="D13" s="58" t="inlineStr">
        <is>
          <t>Total Custom Spend (live):</t>
        </is>
      </c>
      <c r="E13" s="27">
        <f>K11</f>
        <v/>
      </c>
    </row>
    <row r="14">
      <c r="D14" s="58" t="inlineStr">
        <is>
          <t>Baseline Spend (incumbent routing):</t>
        </is>
      </c>
      <c r="E14" s="27" t="n">
        <v>280800</v>
      </c>
    </row>
    <row r="15">
      <c r="D15" s="58" t="inlineStr">
        <is>
          <t>Savings vs Baseline ($, live):</t>
        </is>
      </c>
      <c r="E15" s="27">
        <f>E14-E13</f>
        <v/>
      </c>
    </row>
    <row r="16">
      <c r="D16" s="58" t="inlineStr">
        <is>
          <t>Savings vs Baseline (%, live):</t>
        </is>
      </c>
      <c r="E16" s="28">
        <f>IF(E14=0,0,(E14-E13)/E14)</f>
        <v/>
      </c>
    </row>
    <row r="17"/>
    <row r="18">
      <c r="D18" s="58" t="inlineStr">
        <is>
          <t>Cap-breach check — distinct suppliers per DC (cap = 2):</t>
        </is>
      </c>
      <c r="E18" s="62" t="inlineStr">
        <is>
          <t># suppliers</t>
        </is>
      </c>
    </row>
    <row r="19">
      <c r="D19" s="56" t="inlineStr">
        <is>
          <t>Atlanta DC</t>
        </is>
      </c>
      <c r="E19" s="63">
        <f>SUMPRODUCT(($A$7:$A$10="Atlanta DC")/COUNTIFS($A$7:$A$10,$A$7:$A$10,$E$7:$E$10,$E$7:$E$10))</f>
        <v/>
      </c>
      <c r="F19" s="58">
        <f>IF(E19&gt;2,"⚠ CAP BREACH","OK")</f>
        <v/>
      </c>
    </row>
    <row r="20">
      <c r="D20" s="56" t="inlineStr">
        <is>
          <t>Dallas DC</t>
        </is>
      </c>
      <c r="E20" s="63">
        <f>SUMPRODUCT(($A$7:$A$10="Dallas DC")/COUNTIFS($A$7:$A$10,$A$7:$A$10,$E$7:$E$10,$E$7:$E$10))</f>
        <v/>
      </c>
      <c r="F20" s="58">
        <f>IF(E20&gt;2,"⚠ CAP BREACH","OK")</f>
        <v/>
      </c>
    </row>
  </sheetData>
  <autoFilter ref="A6:N10"/>
  <mergeCells count="4">
    <mergeCell ref="A4:N4"/>
    <mergeCell ref="A3:N3"/>
    <mergeCell ref="A2:N2"/>
    <mergeCell ref="A1:N1"/>
  </mergeCells>
  <dataValidations count="4">
    <dataValidation sqref="E7" showDropDown="0" showInputMessage="0" showErrorMessage="0" allowBlank="0" errorTitle="Not an eligible supplier" error="Pick a supplier from the eligible list for this cell." promptTitle="Override supplier" prompt="Choose the supplier for this DC × lot × timeframe cell." type="list">
      <formula1>"Green Valley Farms"</formula1>
    </dataValidation>
    <dataValidation sqref="E8" showDropDown="0" showInputMessage="0" showErrorMessage="0" allowBlank="0" errorTitle="Not an eligible supplier" error="Pick a supplier from the eligible list for this cell." promptTitle="Override supplier" prompt="Choose the supplier for this DC × lot × timeframe cell." type="list">
      <formula1>"Sunbelt Produce"</formula1>
    </dataValidation>
    <dataValidation sqref="E9" showDropDown="0" showInputMessage="0" showErrorMessage="0" allowBlank="0" errorTitle="Not an eligible supplier" error="Pick a supplier from the eligible list for this cell." promptTitle="Override supplier" prompt="Choose the supplier for this DC × lot × timeframe cell." type="list">
      <formula1>"Green Valley Farms"</formula1>
    </dataValidation>
    <dataValidation sqref="E10" showDropDown="0" showInputMessage="0" showErrorMessage="0" allowBlank="0" errorTitle="Not an eligible supplier" error="Pick a supplier from the eligible list for this cell." promptTitle="Override supplier" prompt="Choose the supplier for this DC × lot × timeframe cell." type="list">
      <formula1>"Sunbelt Produce"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</cols>
  <sheetData>
    <row r="1" ht="22" customHeight="1">
      <c r="A1" s="1" t="inlineStr">
        <is>
          <t>Custom Dashboard — LIVE off your Custom Scenario build</t>
        </is>
      </c>
      <c r="B1" s="2" t="n"/>
      <c r="C1" s="2" t="n"/>
      <c r="D1" s="2" t="n"/>
    </row>
    <row r="2">
      <c r="A2" s="3" t="inlineStr">
        <is>
          <t>Change a supplier on the Custom Scenario tab and every number here recomputes.</t>
        </is>
      </c>
      <c r="B2" s="2" t="n"/>
      <c r="C2" s="2" t="n"/>
      <c r="D2" s="2" t="n"/>
    </row>
    <row r="3">
      <c r="A3" s="3" t="inlineStr">
        <is>
          <t>DECISION-SUPPORT — recommends, does not assert</t>
        </is>
      </c>
      <c r="B3" s="2" t="n"/>
      <c r="C3" s="2" t="n"/>
      <c r="D3" s="2" t="n"/>
    </row>
    <row r="4"/>
    <row r="5">
      <c r="A5" s="1" t="inlineStr">
        <is>
          <t>Your build vs the recommendation</t>
        </is>
      </c>
    </row>
    <row r="6">
      <c r="A6" s="15" t="inlineStr">
        <is>
          <t>Metric</t>
        </is>
      </c>
      <c r="B6" s="15" t="inlineStr">
        <is>
          <t>Custom (LIVE)</t>
        </is>
      </c>
      <c r="C6" s="15" t="inlineStr">
        <is>
          <t>Recommended (B)</t>
        </is>
      </c>
      <c r="D6" s="15" t="inlineStr">
        <is>
          <t>Δ vs rec</t>
        </is>
      </c>
    </row>
    <row r="7">
      <c r="A7" s="5" t="inlineStr">
        <is>
          <t>Total spend</t>
        </is>
      </c>
      <c r="B7" s="64">
        <f>SUM('Custom Scenario'!$K$7:$K$10)</f>
        <v/>
      </c>
      <c r="C7" s="22" t="n">
        <v>218400</v>
      </c>
      <c r="D7" s="22">
        <f>B7-C7</f>
        <v/>
      </c>
    </row>
    <row r="8">
      <c r="A8" s="5" t="inlineStr">
        <is>
          <t>Savings vs incumbent $</t>
        </is>
      </c>
      <c r="B8" s="64">
        <f>SUMPRODUCT('Custom Scenario'!$J$7:$J$10,'Custom Scenario'!$L$7:$L$10)-SUM('Custom Scenario'!$K$7:$K$10)</f>
        <v/>
      </c>
      <c r="C8" s="22" t="n">
        <v>62400</v>
      </c>
      <c r="D8" s="22">
        <f>B8-C8</f>
        <v/>
      </c>
    </row>
    <row r="9">
      <c r="A9" s="5" t="inlineStr">
        <is>
          <t>Savings vs incumbent %</t>
        </is>
      </c>
      <c r="B9" s="65">
        <f>IFERROR((SUMPRODUCT('Custom Scenario'!$J$7:$J$10,'Custom Scenario'!$L$7:$L$10)-SUM('Custom Scenario'!$K$7:$K$10))/SUMPRODUCT('Custom Scenario'!$J$7:$J$10,'Custom Scenario'!$L$7:$L$10),0)</f>
        <v/>
      </c>
      <c r="C9" s="23" t="n">
        <v>0.2222222222222222</v>
      </c>
      <c r="D9" s="23">
        <f>B9-C9</f>
        <v/>
      </c>
    </row>
    <row r="10">
      <c r="A10" s="5" t="inlineStr">
        <is>
          <t>Avg transit (days, vol-wtd)</t>
        </is>
      </c>
      <c r="B10" s="66">
        <f>IFERROR(SUMPRODUCT('Custom Scenario'!$J$7:$J$10,'Custom Scenario'!$N$7:$N$10)/SUM('Custom Scenario'!$J$7:$J$10),0)</f>
        <v/>
      </c>
      <c r="C10" s="67" t="n">
        <v>0</v>
      </c>
      <c r="D10" s="67">
        <f>B10-C10</f>
        <v/>
      </c>
    </row>
    <row r="11">
      <c r="A11" s="5" t="inlineStr">
        <is>
          <t>Freshness watches (cells)</t>
        </is>
      </c>
      <c r="B11" s="68">
        <f>COUNTIF('Custom Scenario'!$N$7:$N$10,"&gt;4")</f>
        <v/>
      </c>
      <c r="C11" s="21" t="n">
        <v>0</v>
      </c>
      <c r="D11" s="21">
        <f>B11-C11</f>
        <v/>
      </c>
    </row>
    <row r="12">
      <c r="A12" s="5" t="inlineStr">
        <is>
          <t>Suppliers used</t>
        </is>
      </c>
      <c r="B12" s="68">
        <f>SUMPRODUCT(1/COUNTIF('Custom Scenario'!$E$7:$E$10,'Custom Scenario'!$E$7:$E$10))</f>
        <v/>
      </c>
      <c r="C12" s="21" t="n">
        <v>2</v>
      </c>
      <c r="D12" s="21">
        <f>B12-C12</f>
        <v/>
      </c>
    </row>
    <row r="13"/>
    <row r="14">
      <c r="A14" s="1" t="inlineStr">
        <is>
          <t>Supplier share — LIVE (relationships &amp; dependency)</t>
        </is>
      </c>
    </row>
    <row r="15">
      <c r="A15" s="15" t="inlineStr">
        <is>
          <t>Supplier</t>
        </is>
      </c>
      <c r="B15" s="15" t="inlineStr">
        <is>
          <t>Role</t>
        </is>
      </c>
      <c r="C15" s="15" t="inlineStr">
        <is>
          <t>Custom share</t>
        </is>
      </c>
      <c r="D15" s="15" t="inlineStr">
        <is>
          <t>Dependency</t>
        </is>
      </c>
    </row>
    <row r="16">
      <c r="A16" s="51" t="inlineStr">
        <is>
          <t>Green Valley Farms</t>
        </is>
      </c>
      <c r="B16" s="63" t="inlineStr">
        <is>
          <t>Preserve</t>
        </is>
      </c>
      <c r="C16" s="23">
        <f>IFERROR(SUMIF('Custom Scenario'!$E$7:$E$10,"Green Valley Farms",'Custom Scenario'!$K$7:$K$10)/SUM('Custom Scenario'!$K$7:$K$10),0)</f>
        <v/>
      </c>
      <c r="D16" s="63">
        <f>IF(C16&gt;=0.4,"DEPENDENCY","")</f>
        <v/>
      </c>
    </row>
    <row r="17">
      <c r="A17" s="51" t="inlineStr">
        <is>
          <t>Sunbelt Produce</t>
        </is>
      </c>
      <c r="B17" s="63" t="inlineStr">
        <is>
          <t>Create</t>
        </is>
      </c>
      <c r="C17" s="23">
        <f>IFERROR(SUMIF('Custom Scenario'!$E$7:$E$10,"Sunbelt Produce",'Custom Scenario'!$K$7:$K$10)/SUM('Custom Scenario'!$K$7:$K$10),0)</f>
        <v/>
      </c>
      <c r="D17" s="63">
        <f>IF(C17&gt;=0.4,"DEPENDENCY","")</f>
        <v/>
      </c>
    </row>
    <row r="18"/>
    <row r="19">
      <c r="A19" s="1" t="inlineStr">
        <is>
          <t>Spend by DC — LIVE</t>
        </is>
      </c>
    </row>
    <row r="20">
      <c r="A20" s="15" t="inlineStr">
        <is>
          <t>DC</t>
        </is>
      </c>
      <c r="B20" s="15" t="inlineStr">
        <is>
          <t>Custom spend</t>
        </is>
      </c>
      <c r="C20" s="15" t="inlineStr">
        <is>
          <t>Savings vs incumbent</t>
        </is>
      </c>
    </row>
    <row r="21">
      <c r="A21" s="51" t="inlineStr">
        <is>
          <t>Atlanta DC</t>
        </is>
      </c>
      <c r="B21" s="22">
        <f>SUMIF('Custom Scenario'!$A$7:$A$10,"Atlanta DC",'Custom Scenario'!$K$7:$K$10)</f>
        <v/>
      </c>
      <c r="C21" s="22">
        <f>SUMPRODUCT(('Custom Scenario'!$A$7:$A$10="Atlanta DC")*'Custom Scenario'!$J$7:$J$10*'Custom Scenario'!$L$7:$L$10)-SUMIF('Custom Scenario'!$A$7:$A$10,"Atlanta DC",'Custom Scenario'!$K$7:$K$10)</f>
        <v/>
      </c>
    </row>
    <row r="22">
      <c r="A22" s="51" t="inlineStr">
        <is>
          <t>Dallas DC</t>
        </is>
      </c>
      <c r="B22" s="22">
        <f>SUMIF('Custom Scenario'!$A$7:$A$10,"Dallas DC",'Custom Scenario'!$K$7:$K$10)</f>
        <v/>
      </c>
      <c r="C22" s="22">
        <f>SUMPRODUCT(('Custom Scenario'!$A$7:$A$10="Dallas DC")*'Custom Scenario'!$J$7:$J$10*'Custom Scenario'!$L$7:$L$10)-SUMIF('Custom Scenario'!$A$7:$A$10,"Dallas DC",'Custom Scenario'!$K$7:$K$10)</f>
        <v/>
      </c>
    </row>
  </sheetData>
  <mergeCells count="6">
    <mergeCell ref="A1:D1"/>
    <mergeCell ref="A5:D5"/>
    <mergeCell ref="A19:C19"/>
    <mergeCell ref="A3:D3"/>
    <mergeCell ref="A2:D2"/>
    <mergeCell ref="A14:D14"/>
  </mergeCells>
  <conditionalFormatting sqref="C16:C17">
    <cfRule type="colorScale" priority="1">
      <colorScale>
        <cfvo type="num" val="0"/>
        <cfvo type="num" val="0.4"/>
        <cfvo type="num" val="0.6"/>
        <color rgb="00FFFFFF"/>
        <color rgb="00FFEB9C"/>
        <color rgb="00F8696B"/>
      </colorScale>
    </cfRule>
  </conditionalFormatting>
  <conditionalFormatting sqref="D16:D17">
    <cfRule type="cellIs" priority="2" operator="equal" dxfId="1">
      <formula>"DEPENDENCY"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11" customWidth="1" min="8" max="8"/>
    <col width="14" customWidth="1" min="9" max="9"/>
    <col width="16" customWidth="1" min="10" max="10"/>
    <col width="14" customWidth="1" min="11" max="11"/>
    <col width="11" customWidth="1" min="12" max="12"/>
    <col width="11" customWidth="1" min="13" max="13"/>
    <col width="17" customWidth="1" min="14" max="14"/>
    <col width="16" customWidth="1" min="15" max="15"/>
    <col width="25" customWidth="1" min="16" max="16"/>
    <col width="21" customWidth="1" min="17" max="17"/>
    <col width="13" customWidth="1" min="18" max="18"/>
    <col width="16" customWidth="1" min="19" max="19"/>
    <col width="18" customWidth="1" min="20" max="20"/>
    <col width="14" customWidth="1" min="21" max="21"/>
    <col width="18" customWidth="1" min="22" max="22"/>
    <col width="11" customWidth="1" min="23" max="23"/>
    <col width="12" customWidth="1" min="24" max="24"/>
    <col width="11" customWidth="1" min="25" max="25"/>
    <col width="16" customWidth="1" min="26" max="26"/>
    <col width="14" customWidth="1" min="27" max="27"/>
  </cols>
  <sheetData>
    <row r="1">
      <c r="A1" s="69" t="inlineStr">
        <is>
          <t>Insert &gt; PivotTable on this table to slice any way you like (by scenario, DC, supplier, lot…). LIVE CYCLE DATA — real names &amp; prices.</t>
        </is>
      </c>
    </row>
    <row r="2">
      <c r="A2" s="70" t="inlineStr">
        <is>
          <t>Scenario</t>
        </is>
      </c>
      <c r="B2" s="70" t="inlineStr">
        <is>
          <t>Scenario Label</t>
        </is>
      </c>
      <c r="C2" s="70" t="inlineStr">
        <is>
          <t>DC</t>
        </is>
      </c>
      <c r="D2" s="70" t="inlineStr">
        <is>
          <t>Lot</t>
        </is>
      </c>
      <c r="E2" s="70" t="inlineStr">
        <is>
          <t>Item</t>
        </is>
      </c>
      <c r="F2" s="70" t="inlineStr">
        <is>
          <t>Timeframe</t>
        </is>
      </c>
      <c r="G2" s="70" t="inlineStr">
        <is>
          <t>Awarded Supplier</t>
        </is>
      </c>
      <c r="H2" s="70" t="inlineStr">
        <is>
          <t>Incumbent</t>
        </is>
      </c>
      <c r="I2" s="70" t="inlineStr">
        <is>
          <t>Is Incumbent</t>
        </is>
      </c>
      <c r="J2" s="70" t="inlineStr">
        <is>
          <t>Volume (cases)</t>
        </is>
      </c>
      <c r="K2" s="70" t="inlineStr">
        <is>
          <t>Volume Share</t>
        </is>
      </c>
      <c r="L2" s="70" t="inlineStr">
        <is>
          <t>$/case</t>
        </is>
      </c>
      <c r="M2" s="70" t="inlineStr">
        <is>
          <t>Spend</t>
        </is>
      </c>
      <c r="N2" s="70" t="inlineStr">
        <is>
          <t>Baseline $/case</t>
        </is>
      </c>
      <c r="O2" s="70" t="inlineStr">
        <is>
          <t>Baseline Spend</t>
        </is>
      </c>
      <c r="P2" s="70" t="inlineStr">
        <is>
          <t>Savings vs Baseline ($)</t>
        </is>
      </c>
      <c r="Q2" s="70" t="inlineStr">
        <is>
          <t>Premium vs Baseline</t>
        </is>
      </c>
      <c r="R2" s="70" t="inlineStr">
        <is>
          <t>Price Score</t>
        </is>
      </c>
      <c r="S2" s="70" t="inlineStr">
        <is>
          <t>Coverage Score</t>
        </is>
      </c>
      <c r="T2" s="70" t="inlineStr">
        <is>
          <t>Historical Score</t>
        </is>
      </c>
      <c r="U2" s="70" t="inlineStr">
        <is>
          <t>Z-Risk Score</t>
        </is>
      </c>
      <c r="V2" s="70" t="inlineStr">
        <is>
          <t>Continuity Score</t>
        </is>
      </c>
      <c r="W2" s="70" t="inlineStr">
        <is>
          <t>RecScore</t>
        </is>
      </c>
      <c r="X2" s="70" t="inlineStr">
        <is>
          <t>Cap-Breach</t>
        </is>
      </c>
      <c r="Y2" s="70" t="inlineStr">
        <is>
          <t>Fallback</t>
        </is>
      </c>
      <c r="Z2" s="70" t="inlineStr">
        <is>
          <t>Transit (days)</t>
        </is>
      </c>
      <c r="AA2" s="70" t="inlineStr">
        <is>
          <t>Relationship</t>
        </is>
      </c>
    </row>
    <row r="3">
      <c r="A3" t="inlineStr">
        <is>
          <t>A</t>
        </is>
      </c>
      <c r="B3" t="inlineStr">
        <is>
          <t>Lowest-cost reference</t>
        </is>
      </c>
      <c r="C3" t="inlineStr">
        <is>
          <t>Atlanta DC</t>
        </is>
      </c>
      <c r="D3" t="inlineStr">
        <is>
          <t>Lot 1 - Grape</t>
        </is>
      </c>
      <c r="E3" t="inlineStr">
        <is>
          <t>Premium Grape Tomato 10oz</t>
        </is>
      </c>
      <c r="F3" t="inlineStr">
        <is>
          <t>Spring 2026</t>
        </is>
      </c>
      <c r="G3" t="inlineStr">
        <is>
          <t>Green Valley Farms</t>
        </is>
      </c>
      <c r="H3" t="inlineStr">
        <is>
          <t>Green Valley Farms</t>
        </is>
      </c>
      <c r="I3" t="inlineStr">
        <is>
          <t>Yes</t>
        </is>
      </c>
      <c r="J3" s="71" t="n">
        <v>5200</v>
      </c>
      <c r="K3" s="72" t="n">
        <v>1</v>
      </c>
      <c r="L3" s="61" t="n">
        <v>10.5</v>
      </c>
      <c r="M3" s="61" t="n">
        <v>54600</v>
      </c>
      <c r="N3" s="61" t="n">
        <v>13.5</v>
      </c>
      <c r="O3" s="61" t="n">
        <v>70200</v>
      </c>
      <c r="P3" s="61" t="n">
        <v>15600</v>
      </c>
      <c r="Q3" s="72" t="n">
        <v>-0.2222222222222222</v>
      </c>
      <c r="R3" s="71" t="n">
        <v>100</v>
      </c>
      <c r="S3" s="71" t="n">
        <v>95</v>
      </c>
      <c r="T3" s="71" t="n">
        <v>100</v>
      </c>
      <c r="U3" s="71" t="n">
        <v>100</v>
      </c>
      <c r="V3" s="71" t="n">
        <v>100</v>
      </c>
      <c r="W3" s="71" t="n">
        <v>98.90000000000001</v>
      </c>
      <c r="X3" t="inlineStr">
        <is>
          <t>No</t>
        </is>
      </c>
      <c r="Y3" t="inlineStr">
        <is>
          <t>No</t>
        </is>
      </c>
      <c r="Z3" s="71" t="n"/>
      <c r="AA3" t="inlineStr">
        <is>
          <t>Preserve</t>
        </is>
      </c>
    </row>
    <row r="4">
      <c r="A4" t="inlineStr">
        <is>
          <t>A</t>
        </is>
      </c>
      <c r="B4" t="inlineStr">
        <is>
          <t>Lowest-cost reference</t>
        </is>
      </c>
      <c r="C4" t="inlineStr">
        <is>
          <t>Atlanta DC</t>
        </is>
      </c>
      <c r="D4" t="inlineStr">
        <is>
          <t>Lot 2 - Roma</t>
        </is>
      </c>
      <c r="E4" t="inlineStr">
        <is>
          <t>Roma Tomato Bulk 25lb</t>
        </is>
      </c>
      <c r="F4" t="inlineStr">
        <is>
          <t>Spring 2026</t>
        </is>
      </c>
      <c r="G4" t="inlineStr">
        <is>
          <t>Sunbelt Produce</t>
        </is>
      </c>
      <c r="H4" t="inlineStr">
        <is>
          <t>Green Valley Farms</t>
        </is>
      </c>
      <c r="I4" t="inlineStr">
        <is>
          <t>No</t>
        </is>
      </c>
      <c r="J4" s="71" t="n">
        <v>5200</v>
      </c>
      <c r="K4" s="72" t="n">
        <v>1</v>
      </c>
      <c r="L4" s="61" t="n">
        <v>10.5</v>
      </c>
      <c r="M4" s="61" t="n">
        <v>54600</v>
      </c>
      <c r="N4" s="61" t="n">
        <v>13.5</v>
      </c>
      <c r="O4" s="61" t="n">
        <v>70200</v>
      </c>
      <c r="P4" s="61" t="n">
        <v>15600</v>
      </c>
      <c r="Q4" s="72" t="n">
        <v>-0.2222222222222222</v>
      </c>
      <c r="R4" s="71" t="n">
        <v>100</v>
      </c>
      <c r="S4" s="71" t="n">
        <v>95</v>
      </c>
      <c r="T4" s="71" t="n">
        <v>100</v>
      </c>
      <c r="U4" s="71" t="n">
        <v>100</v>
      </c>
      <c r="V4" s="71" t="n">
        <v>0</v>
      </c>
      <c r="W4" s="71" t="n">
        <v>78.90000000000001</v>
      </c>
      <c r="X4" t="inlineStr">
        <is>
          <t>No</t>
        </is>
      </c>
      <c r="Y4" t="inlineStr">
        <is>
          <t>No</t>
        </is>
      </c>
      <c r="Z4" s="71" t="n"/>
      <c r="AA4" t="inlineStr">
        <is>
          <t>Create</t>
        </is>
      </c>
    </row>
    <row r="5">
      <c r="A5" t="inlineStr">
        <is>
          <t>A</t>
        </is>
      </c>
      <c r="B5" t="inlineStr">
        <is>
          <t>Lowest-cost reference</t>
        </is>
      </c>
      <c r="C5" t="inlineStr">
        <is>
          <t>Dallas DC</t>
        </is>
      </c>
      <c r="D5" t="inlineStr">
        <is>
          <t>Lot 1 - Grape</t>
        </is>
      </c>
      <c r="E5" t="inlineStr">
        <is>
          <t>Premium Grape Tomato 10oz</t>
        </is>
      </c>
      <c r="F5" t="inlineStr">
        <is>
          <t>Spring 2026</t>
        </is>
      </c>
      <c r="G5" t="inlineStr">
        <is>
          <t>Green Valley Farms</t>
        </is>
      </c>
      <c r="H5" t="inlineStr">
        <is>
          <t>Green Valley Farms</t>
        </is>
      </c>
      <c r="I5" t="inlineStr">
        <is>
          <t>Yes</t>
        </is>
      </c>
      <c r="J5" s="71" t="n">
        <v>5200</v>
      </c>
      <c r="K5" s="72" t="n">
        <v>1</v>
      </c>
      <c r="L5" s="61" t="n">
        <v>10.5</v>
      </c>
      <c r="M5" s="61" t="n">
        <v>54600</v>
      </c>
      <c r="N5" s="61" t="n">
        <v>13.5</v>
      </c>
      <c r="O5" s="61" t="n">
        <v>70200</v>
      </c>
      <c r="P5" s="61" t="n">
        <v>15600</v>
      </c>
      <c r="Q5" s="72" t="n">
        <v>-0.2222222222222222</v>
      </c>
      <c r="R5" s="71" t="n">
        <v>100</v>
      </c>
      <c r="S5" s="71" t="n">
        <v>95</v>
      </c>
      <c r="T5" s="71" t="n">
        <v>100</v>
      </c>
      <c r="U5" s="71" t="n">
        <v>100</v>
      </c>
      <c r="V5" s="71" t="n">
        <v>100</v>
      </c>
      <c r="W5" s="71" t="n">
        <v>98.90000000000001</v>
      </c>
      <c r="X5" t="inlineStr">
        <is>
          <t>No</t>
        </is>
      </c>
      <c r="Y5" t="inlineStr">
        <is>
          <t>No</t>
        </is>
      </c>
      <c r="Z5" s="71" t="n"/>
      <c r="AA5" t="inlineStr">
        <is>
          <t>Preserve</t>
        </is>
      </c>
    </row>
    <row r="6">
      <c r="A6" t="inlineStr">
        <is>
          <t>A</t>
        </is>
      </c>
      <c r="B6" t="inlineStr">
        <is>
          <t>Lowest-cost reference</t>
        </is>
      </c>
      <c r="C6" t="inlineStr">
        <is>
          <t>Dallas DC</t>
        </is>
      </c>
      <c r="D6" t="inlineStr">
        <is>
          <t>Lot 2 - Roma</t>
        </is>
      </c>
      <c r="E6" t="inlineStr">
        <is>
          <t>Roma Tomato Bulk 25lb</t>
        </is>
      </c>
      <c r="F6" t="inlineStr">
        <is>
          <t>Spring 2026</t>
        </is>
      </c>
      <c r="G6" t="inlineStr">
        <is>
          <t>Sunbelt Produce</t>
        </is>
      </c>
      <c r="H6" t="inlineStr">
        <is>
          <t>Green Valley Farms</t>
        </is>
      </c>
      <c r="I6" t="inlineStr">
        <is>
          <t>No</t>
        </is>
      </c>
      <c r="J6" s="71" t="n">
        <v>5200</v>
      </c>
      <c r="K6" s="72" t="n">
        <v>1</v>
      </c>
      <c r="L6" s="61" t="n">
        <v>10.5</v>
      </c>
      <c r="M6" s="61" t="n">
        <v>54600</v>
      </c>
      <c r="N6" s="61" t="n">
        <v>13.5</v>
      </c>
      <c r="O6" s="61" t="n">
        <v>70200</v>
      </c>
      <c r="P6" s="61" t="n">
        <v>15600</v>
      </c>
      <c r="Q6" s="72" t="n">
        <v>-0.2222222222222222</v>
      </c>
      <c r="R6" s="71" t="n">
        <v>100</v>
      </c>
      <c r="S6" s="71" t="n">
        <v>95</v>
      </c>
      <c r="T6" s="71" t="n">
        <v>100</v>
      </c>
      <c r="U6" s="71" t="n">
        <v>100</v>
      </c>
      <c r="V6" s="71" t="n">
        <v>0</v>
      </c>
      <c r="W6" s="71" t="n">
        <v>78.90000000000001</v>
      </c>
      <c r="X6" t="inlineStr">
        <is>
          <t>No</t>
        </is>
      </c>
      <c r="Y6" t="inlineStr">
        <is>
          <t>No</t>
        </is>
      </c>
      <c r="Z6" s="71" t="n"/>
      <c r="AA6" t="inlineStr">
        <is>
          <t>Create</t>
        </is>
      </c>
    </row>
    <row r="7">
      <c r="A7" t="inlineStr">
        <is>
          <t>B</t>
        </is>
      </c>
      <c r="B7" t="inlineStr">
        <is>
          <t>Risk-adjusted recommendation</t>
        </is>
      </c>
      <c r="C7" t="inlineStr">
        <is>
          <t>Atlanta DC</t>
        </is>
      </c>
      <c r="D7" t="inlineStr">
        <is>
          <t>Lot 1 - Grape</t>
        </is>
      </c>
      <c r="E7" t="inlineStr">
        <is>
          <t>Premium Grape Tomato 10oz</t>
        </is>
      </c>
      <c r="F7" t="inlineStr">
        <is>
          <t>Spring 2026</t>
        </is>
      </c>
      <c r="G7" t="inlineStr">
        <is>
          <t>Green Valley Farms</t>
        </is>
      </c>
      <c r="H7" t="inlineStr">
        <is>
          <t>Green Valley Farms</t>
        </is>
      </c>
      <c r="I7" t="inlineStr">
        <is>
          <t>Yes</t>
        </is>
      </c>
      <c r="J7" s="71" t="n">
        <v>5200</v>
      </c>
      <c r="K7" s="72" t="n">
        <v>1</v>
      </c>
      <c r="L7" s="61" t="n">
        <v>10.5</v>
      </c>
      <c r="M7" s="61" t="n">
        <v>54600</v>
      </c>
      <c r="N7" s="61" t="n">
        <v>13.5</v>
      </c>
      <c r="O7" s="61" t="n">
        <v>70200</v>
      </c>
      <c r="P7" s="61" t="n">
        <v>15600</v>
      </c>
      <c r="Q7" s="72" t="n">
        <v>-0.2222222222222222</v>
      </c>
      <c r="R7" s="71" t="n">
        <v>100</v>
      </c>
      <c r="S7" s="71" t="n">
        <v>95</v>
      </c>
      <c r="T7" s="71" t="n">
        <v>100</v>
      </c>
      <c r="U7" s="71" t="n">
        <v>100</v>
      </c>
      <c r="V7" s="71" t="n">
        <v>100</v>
      </c>
      <c r="W7" s="71" t="n">
        <v>98.90000000000001</v>
      </c>
      <c r="X7" t="inlineStr">
        <is>
          <t>No</t>
        </is>
      </c>
      <c r="Y7" t="inlineStr">
        <is>
          <t>No</t>
        </is>
      </c>
      <c r="Z7" s="71" t="n"/>
      <c r="AA7" t="inlineStr">
        <is>
          <t>Preserve</t>
        </is>
      </c>
    </row>
    <row r="8">
      <c r="A8" t="inlineStr">
        <is>
          <t>B</t>
        </is>
      </c>
      <c r="B8" t="inlineStr">
        <is>
          <t>Risk-adjusted recommendation</t>
        </is>
      </c>
      <c r="C8" t="inlineStr">
        <is>
          <t>Atlanta DC</t>
        </is>
      </c>
      <c r="D8" t="inlineStr">
        <is>
          <t>Lot 2 - Roma</t>
        </is>
      </c>
      <c r="E8" t="inlineStr">
        <is>
          <t>Roma Tomato Bulk 25lb</t>
        </is>
      </c>
      <c r="F8" t="inlineStr">
        <is>
          <t>Spring 2026</t>
        </is>
      </c>
      <c r="G8" t="inlineStr">
        <is>
          <t>Sunbelt Produce</t>
        </is>
      </c>
      <c r="H8" t="inlineStr">
        <is>
          <t>Green Valley Farms</t>
        </is>
      </c>
      <c r="I8" t="inlineStr">
        <is>
          <t>No</t>
        </is>
      </c>
      <c r="J8" s="71" t="n">
        <v>5200</v>
      </c>
      <c r="K8" s="72" t="n">
        <v>1</v>
      </c>
      <c r="L8" s="61" t="n">
        <v>10.5</v>
      </c>
      <c r="M8" s="61" t="n">
        <v>54600</v>
      </c>
      <c r="N8" s="61" t="n">
        <v>13.5</v>
      </c>
      <c r="O8" s="61" t="n">
        <v>70200</v>
      </c>
      <c r="P8" s="61" t="n">
        <v>15600</v>
      </c>
      <c r="Q8" s="72" t="n">
        <v>-0.2222222222222222</v>
      </c>
      <c r="R8" s="71" t="n">
        <v>100</v>
      </c>
      <c r="S8" s="71" t="n">
        <v>95</v>
      </c>
      <c r="T8" s="71" t="n">
        <v>100</v>
      </c>
      <c r="U8" s="71" t="n">
        <v>100</v>
      </c>
      <c r="V8" s="71" t="n">
        <v>0</v>
      </c>
      <c r="W8" s="71" t="n">
        <v>78.90000000000001</v>
      </c>
      <c r="X8" t="inlineStr">
        <is>
          <t>No</t>
        </is>
      </c>
      <c r="Y8" t="inlineStr">
        <is>
          <t>No</t>
        </is>
      </c>
      <c r="Z8" s="71" t="n"/>
      <c r="AA8" t="inlineStr">
        <is>
          <t>Create</t>
        </is>
      </c>
    </row>
    <row r="9">
      <c r="A9" t="inlineStr">
        <is>
          <t>B</t>
        </is>
      </c>
      <c r="B9" t="inlineStr">
        <is>
          <t>Risk-adjusted recommendation</t>
        </is>
      </c>
      <c r="C9" t="inlineStr">
        <is>
          <t>Dallas DC</t>
        </is>
      </c>
      <c r="D9" t="inlineStr">
        <is>
          <t>Lot 1 - Grape</t>
        </is>
      </c>
      <c r="E9" t="inlineStr">
        <is>
          <t>Premium Grape Tomato 10oz</t>
        </is>
      </c>
      <c r="F9" t="inlineStr">
        <is>
          <t>Spring 2026</t>
        </is>
      </c>
      <c r="G9" t="inlineStr">
        <is>
          <t>Green Valley Farms</t>
        </is>
      </c>
      <c r="H9" t="inlineStr">
        <is>
          <t>Green Valley Farms</t>
        </is>
      </c>
      <c r="I9" t="inlineStr">
        <is>
          <t>Yes</t>
        </is>
      </c>
      <c r="J9" s="71" t="n">
        <v>5200</v>
      </c>
      <c r="K9" s="72" t="n">
        <v>1</v>
      </c>
      <c r="L9" s="61" t="n">
        <v>10.5</v>
      </c>
      <c r="M9" s="61" t="n">
        <v>54600</v>
      </c>
      <c r="N9" s="61" t="n">
        <v>13.5</v>
      </c>
      <c r="O9" s="61" t="n">
        <v>70200</v>
      </c>
      <c r="P9" s="61" t="n">
        <v>15600</v>
      </c>
      <c r="Q9" s="72" t="n">
        <v>-0.2222222222222222</v>
      </c>
      <c r="R9" s="71" t="n">
        <v>100</v>
      </c>
      <c r="S9" s="71" t="n">
        <v>95</v>
      </c>
      <c r="T9" s="71" t="n">
        <v>100</v>
      </c>
      <c r="U9" s="71" t="n">
        <v>100</v>
      </c>
      <c r="V9" s="71" t="n">
        <v>100</v>
      </c>
      <c r="W9" s="71" t="n">
        <v>98.90000000000001</v>
      </c>
      <c r="X9" t="inlineStr">
        <is>
          <t>No</t>
        </is>
      </c>
      <c r="Y9" t="inlineStr">
        <is>
          <t>No</t>
        </is>
      </c>
      <c r="Z9" s="71" t="n"/>
      <c r="AA9" t="inlineStr">
        <is>
          <t>Preserve</t>
        </is>
      </c>
    </row>
    <row r="10">
      <c r="A10" t="inlineStr">
        <is>
          <t>B</t>
        </is>
      </c>
      <c r="B10" t="inlineStr">
        <is>
          <t>Risk-adjusted recommendation</t>
        </is>
      </c>
      <c r="C10" t="inlineStr">
        <is>
          <t>Dallas DC</t>
        </is>
      </c>
      <c r="D10" t="inlineStr">
        <is>
          <t>Lot 2 - Roma</t>
        </is>
      </c>
      <c r="E10" t="inlineStr">
        <is>
          <t>Roma Tomato Bulk 25lb</t>
        </is>
      </c>
      <c r="F10" t="inlineStr">
        <is>
          <t>Spring 2026</t>
        </is>
      </c>
      <c r="G10" t="inlineStr">
        <is>
          <t>Sunbelt Produce</t>
        </is>
      </c>
      <c r="H10" t="inlineStr">
        <is>
          <t>Green Valley Farms</t>
        </is>
      </c>
      <c r="I10" t="inlineStr">
        <is>
          <t>No</t>
        </is>
      </c>
      <c r="J10" s="71" t="n">
        <v>5200</v>
      </c>
      <c r="K10" s="72" t="n">
        <v>1</v>
      </c>
      <c r="L10" s="61" t="n">
        <v>10.5</v>
      </c>
      <c r="M10" s="61" t="n">
        <v>54600</v>
      </c>
      <c r="N10" s="61" t="n">
        <v>13.5</v>
      </c>
      <c r="O10" s="61" t="n">
        <v>70200</v>
      </c>
      <c r="P10" s="61" t="n">
        <v>15600</v>
      </c>
      <c r="Q10" s="72" t="n">
        <v>-0.2222222222222222</v>
      </c>
      <c r="R10" s="71" t="n">
        <v>100</v>
      </c>
      <c r="S10" s="71" t="n">
        <v>95</v>
      </c>
      <c r="T10" s="71" t="n">
        <v>100</v>
      </c>
      <c r="U10" s="71" t="n">
        <v>100</v>
      </c>
      <c r="V10" s="71" t="n">
        <v>0</v>
      </c>
      <c r="W10" s="71" t="n">
        <v>78.90000000000001</v>
      </c>
      <c r="X10" t="inlineStr">
        <is>
          <t>No</t>
        </is>
      </c>
      <c r="Y10" t="inlineStr">
        <is>
          <t>No</t>
        </is>
      </c>
      <c r="Z10" s="71" t="n"/>
      <c r="AA10" t="inlineStr">
        <is>
          <t>Create</t>
        </is>
      </c>
    </row>
    <row r="11">
      <c r="A11" t="inlineStr">
        <is>
          <t>C</t>
        </is>
      </c>
      <c r="B11" t="inlineStr">
        <is>
          <t>Incumbent defense</t>
        </is>
      </c>
      <c r="C11" t="inlineStr">
        <is>
          <t>Atlanta DC</t>
        </is>
      </c>
      <c r="D11" t="inlineStr">
        <is>
          <t>Lot 1 - Grape</t>
        </is>
      </c>
      <c r="E11" t="inlineStr">
        <is>
          <t>Premium Grape Tomato 10oz</t>
        </is>
      </c>
      <c r="F11" t="inlineStr">
        <is>
          <t>Spring 2026</t>
        </is>
      </c>
      <c r="G11" t="inlineStr">
        <is>
          <t>Green Valley Farms</t>
        </is>
      </c>
      <c r="H11" t="inlineStr">
        <is>
          <t>Green Valley Farms</t>
        </is>
      </c>
      <c r="I11" t="inlineStr">
        <is>
          <t>Yes</t>
        </is>
      </c>
      <c r="J11" s="71" t="n">
        <v>5200</v>
      </c>
      <c r="K11" s="72" t="n">
        <v>1</v>
      </c>
      <c r="L11" s="61" t="n">
        <v>10.5</v>
      </c>
      <c r="M11" s="61" t="n">
        <v>54600</v>
      </c>
      <c r="N11" s="61" t="n">
        <v>13.5</v>
      </c>
      <c r="O11" s="61" t="n">
        <v>70200</v>
      </c>
      <c r="P11" s="61" t="n">
        <v>15600</v>
      </c>
      <c r="Q11" s="72" t="n">
        <v>-0.2222222222222222</v>
      </c>
      <c r="R11" s="71" t="n">
        <v>100</v>
      </c>
      <c r="S11" s="71" t="n">
        <v>95</v>
      </c>
      <c r="T11" s="71" t="n">
        <v>100</v>
      </c>
      <c r="U11" s="71" t="n">
        <v>100</v>
      </c>
      <c r="V11" s="71" t="n">
        <v>100</v>
      </c>
      <c r="W11" s="71" t="n">
        <v>98.90000000000001</v>
      </c>
      <c r="X11" t="inlineStr">
        <is>
          <t>No</t>
        </is>
      </c>
      <c r="Y11" t="inlineStr">
        <is>
          <t>No</t>
        </is>
      </c>
      <c r="Z11" s="71" t="n"/>
      <c r="AA11" t="inlineStr">
        <is>
          <t>Preserve</t>
        </is>
      </c>
    </row>
    <row r="12">
      <c r="A12" t="inlineStr">
        <is>
          <t>C</t>
        </is>
      </c>
      <c r="B12" t="inlineStr">
        <is>
          <t>Incumbent defense</t>
        </is>
      </c>
      <c r="C12" t="inlineStr">
        <is>
          <t>Atlanta DC</t>
        </is>
      </c>
      <c r="D12" t="inlineStr">
        <is>
          <t>Lot 2 - Roma</t>
        </is>
      </c>
      <c r="E12" t="inlineStr">
        <is>
          <t>Roma Tomato Bulk 25lb</t>
        </is>
      </c>
      <c r="F12" t="inlineStr">
        <is>
          <t>Spring 2026</t>
        </is>
      </c>
      <c r="G12" t="inlineStr">
        <is>
          <t>Sunbelt Produce</t>
        </is>
      </c>
      <c r="H12" t="inlineStr">
        <is>
          <t>Green Valley Farms</t>
        </is>
      </c>
      <c r="I12" t="inlineStr">
        <is>
          <t>No</t>
        </is>
      </c>
      <c r="J12" s="71" t="n">
        <v>5200</v>
      </c>
      <c r="K12" s="72" t="n">
        <v>1</v>
      </c>
      <c r="L12" s="61" t="n">
        <v>10.5</v>
      </c>
      <c r="M12" s="61" t="n">
        <v>54600</v>
      </c>
      <c r="N12" s="61" t="n">
        <v>13.5</v>
      </c>
      <c r="O12" s="61" t="n">
        <v>70200</v>
      </c>
      <c r="P12" s="61" t="n">
        <v>15600</v>
      </c>
      <c r="Q12" s="72" t="n">
        <v>-0.2222222222222222</v>
      </c>
      <c r="R12" s="71" t="n">
        <v>100</v>
      </c>
      <c r="S12" s="71" t="n">
        <v>95</v>
      </c>
      <c r="T12" s="71" t="n">
        <v>100</v>
      </c>
      <c r="U12" s="71" t="n">
        <v>100</v>
      </c>
      <c r="V12" s="71" t="n">
        <v>0</v>
      </c>
      <c r="W12" s="71" t="n">
        <v>78.90000000000001</v>
      </c>
      <c r="X12" t="inlineStr">
        <is>
          <t>No</t>
        </is>
      </c>
      <c r="Y12" t="inlineStr">
        <is>
          <t>No</t>
        </is>
      </c>
      <c r="Z12" s="71" t="n"/>
      <c r="AA12" t="inlineStr">
        <is>
          <t>Create</t>
        </is>
      </c>
    </row>
    <row r="13">
      <c r="A13" t="inlineStr">
        <is>
          <t>C</t>
        </is>
      </c>
      <c r="B13" t="inlineStr">
        <is>
          <t>Incumbent defense</t>
        </is>
      </c>
      <c r="C13" t="inlineStr">
        <is>
          <t>Dallas DC</t>
        </is>
      </c>
      <c r="D13" t="inlineStr">
        <is>
          <t>Lot 1 - Grape</t>
        </is>
      </c>
      <c r="E13" t="inlineStr">
        <is>
          <t>Premium Grape Tomato 10oz</t>
        </is>
      </c>
      <c r="F13" t="inlineStr">
        <is>
          <t>Spring 2026</t>
        </is>
      </c>
      <c r="G13" t="inlineStr">
        <is>
          <t>Green Valley Farms</t>
        </is>
      </c>
      <c r="H13" t="inlineStr">
        <is>
          <t>Green Valley Farms</t>
        </is>
      </c>
      <c r="I13" t="inlineStr">
        <is>
          <t>Yes</t>
        </is>
      </c>
      <c r="J13" s="71" t="n">
        <v>5200</v>
      </c>
      <c r="K13" s="72" t="n">
        <v>1</v>
      </c>
      <c r="L13" s="61" t="n">
        <v>10.5</v>
      </c>
      <c r="M13" s="61" t="n">
        <v>54600</v>
      </c>
      <c r="N13" s="61" t="n">
        <v>13.5</v>
      </c>
      <c r="O13" s="61" t="n">
        <v>70200</v>
      </c>
      <c r="P13" s="61" t="n">
        <v>15600</v>
      </c>
      <c r="Q13" s="72" t="n">
        <v>-0.2222222222222222</v>
      </c>
      <c r="R13" s="71" t="n">
        <v>100</v>
      </c>
      <c r="S13" s="71" t="n">
        <v>95</v>
      </c>
      <c r="T13" s="71" t="n">
        <v>100</v>
      </c>
      <c r="U13" s="71" t="n">
        <v>100</v>
      </c>
      <c r="V13" s="71" t="n">
        <v>100</v>
      </c>
      <c r="W13" s="71" t="n">
        <v>98.90000000000001</v>
      </c>
      <c r="X13" t="inlineStr">
        <is>
          <t>No</t>
        </is>
      </c>
      <c r="Y13" t="inlineStr">
        <is>
          <t>No</t>
        </is>
      </c>
      <c r="Z13" s="71" t="n"/>
      <c r="AA13" t="inlineStr">
        <is>
          <t>Preserve</t>
        </is>
      </c>
    </row>
    <row r="14">
      <c r="A14" t="inlineStr">
        <is>
          <t>C</t>
        </is>
      </c>
      <c r="B14" t="inlineStr">
        <is>
          <t>Incumbent defense</t>
        </is>
      </c>
      <c r="C14" t="inlineStr">
        <is>
          <t>Dallas DC</t>
        </is>
      </c>
      <c r="D14" t="inlineStr">
        <is>
          <t>Lot 2 - Roma</t>
        </is>
      </c>
      <c r="E14" t="inlineStr">
        <is>
          <t>Roma Tomato Bulk 25lb</t>
        </is>
      </c>
      <c r="F14" t="inlineStr">
        <is>
          <t>Spring 2026</t>
        </is>
      </c>
      <c r="G14" t="inlineStr">
        <is>
          <t>Sunbelt Produce</t>
        </is>
      </c>
      <c r="H14" t="inlineStr">
        <is>
          <t>Green Valley Farms</t>
        </is>
      </c>
      <c r="I14" t="inlineStr">
        <is>
          <t>No</t>
        </is>
      </c>
      <c r="J14" s="71" t="n">
        <v>5200</v>
      </c>
      <c r="K14" s="72" t="n">
        <v>1</v>
      </c>
      <c r="L14" s="61" t="n">
        <v>10.5</v>
      </c>
      <c r="M14" s="61" t="n">
        <v>54600</v>
      </c>
      <c r="N14" s="61" t="n">
        <v>13.5</v>
      </c>
      <c r="O14" s="61" t="n">
        <v>70200</v>
      </c>
      <c r="P14" s="61" t="n">
        <v>15600</v>
      </c>
      <c r="Q14" s="72" t="n">
        <v>-0.2222222222222222</v>
      </c>
      <c r="R14" s="71" t="n">
        <v>100</v>
      </c>
      <c r="S14" s="71" t="n">
        <v>95</v>
      </c>
      <c r="T14" s="71" t="n">
        <v>100</v>
      </c>
      <c r="U14" s="71" t="n">
        <v>100</v>
      </c>
      <c r="V14" s="71" t="n">
        <v>0</v>
      </c>
      <c r="W14" s="71" t="n">
        <v>78.90000000000001</v>
      </c>
      <c r="X14" t="inlineStr">
        <is>
          <t>No</t>
        </is>
      </c>
      <c r="Y14" t="inlineStr">
        <is>
          <t>No</t>
        </is>
      </c>
      <c r="Z14" s="71" t="n"/>
      <c r="AA14" t="inlineStr">
        <is>
          <t>Create</t>
        </is>
      </c>
    </row>
    <row r="15">
      <c r="A15" t="inlineStr">
        <is>
          <t>D</t>
        </is>
      </c>
      <c r="B15" t="inlineStr">
        <is>
          <t>Max-N per DC</t>
        </is>
      </c>
      <c r="C15" t="inlineStr">
        <is>
          <t>Atlanta DC</t>
        </is>
      </c>
      <c r="D15" t="inlineStr">
        <is>
          <t>Lot 1 - Grape</t>
        </is>
      </c>
      <c r="E15" t="inlineStr">
        <is>
          <t>Premium Grape Tomato 10oz</t>
        </is>
      </c>
      <c r="F15" t="inlineStr">
        <is>
          <t>Spring 2026</t>
        </is>
      </c>
      <c r="G15" t="inlineStr">
        <is>
          <t>Green Valley Farms</t>
        </is>
      </c>
      <c r="H15" t="inlineStr">
        <is>
          <t>Green Valley Farms</t>
        </is>
      </c>
      <c r="I15" t="inlineStr">
        <is>
          <t>Yes</t>
        </is>
      </c>
      <c r="J15" s="71" t="n">
        <v>5200</v>
      </c>
      <c r="K15" s="72" t="n">
        <v>1</v>
      </c>
      <c r="L15" s="61" t="n">
        <v>10.5</v>
      </c>
      <c r="M15" s="61" t="n">
        <v>54600</v>
      </c>
      <c r="N15" s="61" t="n">
        <v>13.5</v>
      </c>
      <c r="O15" s="61" t="n">
        <v>70200</v>
      </c>
      <c r="P15" s="61" t="n">
        <v>15600</v>
      </c>
      <c r="Q15" s="72" t="n">
        <v>-0.2222222222222222</v>
      </c>
      <c r="R15" s="71" t="n">
        <v>100</v>
      </c>
      <c r="S15" s="71" t="n">
        <v>95</v>
      </c>
      <c r="T15" s="71" t="n">
        <v>100</v>
      </c>
      <c r="U15" s="71" t="n">
        <v>100</v>
      </c>
      <c r="V15" s="71" t="n">
        <v>100</v>
      </c>
      <c r="W15" s="71" t="n">
        <v>98.90000000000001</v>
      </c>
      <c r="X15" t="inlineStr">
        <is>
          <t>No</t>
        </is>
      </c>
      <c r="Y15" t="inlineStr">
        <is>
          <t>No</t>
        </is>
      </c>
      <c r="Z15" s="71" t="n"/>
      <c r="AA15" t="inlineStr">
        <is>
          <t>Preserve</t>
        </is>
      </c>
    </row>
    <row r="16">
      <c r="A16" t="inlineStr">
        <is>
          <t>D</t>
        </is>
      </c>
      <c r="B16" t="inlineStr">
        <is>
          <t>Max-N per DC</t>
        </is>
      </c>
      <c r="C16" t="inlineStr">
        <is>
          <t>Atlanta DC</t>
        </is>
      </c>
      <c r="D16" t="inlineStr">
        <is>
          <t>Lot 2 - Roma</t>
        </is>
      </c>
      <c r="E16" t="inlineStr">
        <is>
          <t>Roma Tomato Bulk 25lb</t>
        </is>
      </c>
      <c r="F16" t="inlineStr">
        <is>
          <t>Spring 2026</t>
        </is>
      </c>
      <c r="G16" t="inlineStr">
        <is>
          <t>Sunbelt Produce</t>
        </is>
      </c>
      <c r="H16" t="inlineStr">
        <is>
          <t>Green Valley Farms</t>
        </is>
      </c>
      <c r="I16" t="inlineStr">
        <is>
          <t>No</t>
        </is>
      </c>
      <c r="J16" s="71" t="n">
        <v>5200</v>
      </c>
      <c r="K16" s="72" t="n">
        <v>1</v>
      </c>
      <c r="L16" s="61" t="n">
        <v>10.5</v>
      </c>
      <c r="M16" s="61" t="n">
        <v>54600</v>
      </c>
      <c r="N16" s="61" t="n">
        <v>13.5</v>
      </c>
      <c r="O16" s="61" t="n">
        <v>70200</v>
      </c>
      <c r="P16" s="61" t="n">
        <v>15600</v>
      </c>
      <c r="Q16" s="72" t="n">
        <v>-0.2222222222222222</v>
      </c>
      <c r="R16" s="71" t="n">
        <v>100</v>
      </c>
      <c r="S16" s="71" t="n">
        <v>95</v>
      </c>
      <c r="T16" s="71" t="n">
        <v>100</v>
      </c>
      <c r="U16" s="71" t="n">
        <v>100</v>
      </c>
      <c r="V16" s="71" t="n">
        <v>0</v>
      </c>
      <c r="W16" s="71" t="n">
        <v>78.90000000000001</v>
      </c>
      <c r="X16" t="inlineStr">
        <is>
          <t>No</t>
        </is>
      </c>
      <c r="Y16" t="inlineStr">
        <is>
          <t>No</t>
        </is>
      </c>
      <c r="Z16" s="71" t="n"/>
      <c r="AA16" t="inlineStr">
        <is>
          <t>Create</t>
        </is>
      </c>
    </row>
    <row r="17">
      <c r="A17" t="inlineStr">
        <is>
          <t>D</t>
        </is>
      </c>
      <c r="B17" t="inlineStr">
        <is>
          <t>Max-N per DC</t>
        </is>
      </c>
      <c r="C17" t="inlineStr">
        <is>
          <t>Dallas DC</t>
        </is>
      </c>
      <c r="D17" t="inlineStr">
        <is>
          <t>Lot 1 - Grape</t>
        </is>
      </c>
      <c r="E17" t="inlineStr">
        <is>
          <t>Premium Grape Tomato 10oz</t>
        </is>
      </c>
      <c r="F17" t="inlineStr">
        <is>
          <t>Spring 2026</t>
        </is>
      </c>
      <c r="G17" t="inlineStr">
        <is>
          <t>Green Valley Farms</t>
        </is>
      </c>
      <c r="H17" t="inlineStr">
        <is>
          <t>Green Valley Farms</t>
        </is>
      </c>
      <c r="I17" t="inlineStr">
        <is>
          <t>Yes</t>
        </is>
      </c>
      <c r="J17" s="71" t="n">
        <v>5200</v>
      </c>
      <c r="K17" s="72" t="n">
        <v>1</v>
      </c>
      <c r="L17" s="61" t="n">
        <v>10.5</v>
      </c>
      <c r="M17" s="61" t="n">
        <v>54600</v>
      </c>
      <c r="N17" s="61" t="n">
        <v>13.5</v>
      </c>
      <c r="O17" s="61" t="n">
        <v>70200</v>
      </c>
      <c r="P17" s="61" t="n">
        <v>15600</v>
      </c>
      <c r="Q17" s="72" t="n">
        <v>-0.2222222222222222</v>
      </c>
      <c r="R17" s="71" t="n">
        <v>100</v>
      </c>
      <c r="S17" s="71" t="n">
        <v>95</v>
      </c>
      <c r="T17" s="71" t="n">
        <v>100</v>
      </c>
      <c r="U17" s="71" t="n">
        <v>100</v>
      </c>
      <c r="V17" s="71" t="n">
        <v>100</v>
      </c>
      <c r="W17" s="71" t="n">
        <v>98.90000000000001</v>
      </c>
      <c r="X17" t="inlineStr">
        <is>
          <t>No</t>
        </is>
      </c>
      <c r="Y17" t="inlineStr">
        <is>
          <t>No</t>
        </is>
      </c>
      <c r="Z17" s="71" t="n"/>
      <c r="AA17" t="inlineStr">
        <is>
          <t>Preserve</t>
        </is>
      </c>
    </row>
    <row r="18">
      <c r="A18" t="inlineStr">
        <is>
          <t>D</t>
        </is>
      </c>
      <c r="B18" t="inlineStr">
        <is>
          <t>Max-N per DC</t>
        </is>
      </c>
      <c r="C18" t="inlineStr">
        <is>
          <t>Dallas DC</t>
        </is>
      </c>
      <c r="D18" t="inlineStr">
        <is>
          <t>Lot 2 - Roma</t>
        </is>
      </c>
      <c r="E18" t="inlineStr">
        <is>
          <t>Roma Tomato Bulk 25lb</t>
        </is>
      </c>
      <c r="F18" t="inlineStr">
        <is>
          <t>Spring 2026</t>
        </is>
      </c>
      <c r="G18" t="inlineStr">
        <is>
          <t>Sunbelt Produce</t>
        </is>
      </c>
      <c r="H18" t="inlineStr">
        <is>
          <t>Green Valley Farms</t>
        </is>
      </c>
      <c r="I18" t="inlineStr">
        <is>
          <t>No</t>
        </is>
      </c>
      <c r="J18" s="71" t="n">
        <v>5200</v>
      </c>
      <c r="K18" s="72" t="n">
        <v>1</v>
      </c>
      <c r="L18" s="61" t="n">
        <v>10.5</v>
      </c>
      <c r="M18" s="61" t="n">
        <v>54600</v>
      </c>
      <c r="N18" s="61" t="n">
        <v>13.5</v>
      </c>
      <c r="O18" s="61" t="n">
        <v>70200</v>
      </c>
      <c r="P18" s="61" t="n">
        <v>15600</v>
      </c>
      <c r="Q18" s="72" t="n">
        <v>-0.2222222222222222</v>
      </c>
      <c r="R18" s="71" t="n">
        <v>100</v>
      </c>
      <c r="S18" s="71" t="n">
        <v>95</v>
      </c>
      <c r="T18" s="71" t="n">
        <v>100</v>
      </c>
      <c r="U18" s="71" t="n">
        <v>100</v>
      </c>
      <c r="V18" s="71" t="n">
        <v>0</v>
      </c>
      <c r="W18" s="71" t="n">
        <v>78.90000000000001</v>
      </c>
      <c r="X18" t="inlineStr">
        <is>
          <t>No</t>
        </is>
      </c>
      <c r="Y18" t="inlineStr">
        <is>
          <t>No</t>
        </is>
      </c>
      <c r="Z18" s="71" t="n"/>
      <c r="AA18" t="inlineStr">
        <is>
          <t>Create</t>
        </is>
      </c>
    </row>
    <row r="19">
      <c r="A19" t="inlineStr">
        <is>
          <t>E</t>
        </is>
      </c>
      <c r="B19" t="inlineStr">
        <is>
          <t>Exclusion applied</t>
        </is>
      </c>
      <c r="C19" t="inlineStr">
        <is>
          <t>Atlanta DC</t>
        </is>
      </c>
      <c r="D19" t="inlineStr">
        <is>
          <t>Lot 1 - Grape</t>
        </is>
      </c>
      <c r="E19" t="inlineStr">
        <is>
          <t>Premium Grape Tomato 10oz</t>
        </is>
      </c>
      <c r="F19" t="inlineStr">
        <is>
          <t>Spring 2026</t>
        </is>
      </c>
      <c r="G19" t="inlineStr">
        <is>
          <t>Green Valley Farms</t>
        </is>
      </c>
      <c r="H19" t="inlineStr">
        <is>
          <t>Green Valley Farms</t>
        </is>
      </c>
      <c r="I19" t="inlineStr">
        <is>
          <t>Yes</t>
        </is>
      </c>
      <c r="J19" s="71" t="n">
        <v>5200</v>
      </c>
      <c r="K19" s="72" t="n">
        <v>1</v>
      </c>
      <c r="L19" s="61" t="n">
        <v>10.5</v>
      </c>
      <c r="M19" s="61" t="n">
        <v>54600</v>
      </c>
      <c r="N19" s="61" t="n">
        <v>13.5</v>
      </c>
      <c r="O19" s="61" t="n">
        <v>70200</v>
      </c>
      <c r="P19" s="61" t="n">
        <v>15600</v>
      </c>
      <c r="Q19" s="72" t="n">
        <v>-0.2222222222222222</v>
      </c>
      <c r="R19" s="71" t="n">
        <v>100</v>
      </c>
      <c r="S19" s="71" t="n">
        <v>95</v>
      </c>
      <c r="T19" s="71" t="n">
        <v>100</v>
      </c>
      <c r="U19" s="71" t="n">
        <v>100</v>
      </c>
      <c r="V19" s="71" t="n">
        <v>100</v>
      </c>
      <c r="W19" s="71" t="n">
        <v>98.90000000000001</v>
      </c>
      <c r="X19" t="inlineStr">
        <is>
          <t>No</t>
        </is>
      </c>
      <c r="Y19" t="inlineStr">
        <is>
          <t>No</t>
        </is>
      </c>
      <c r="Z19" s="71" t="n"/>
      <c r="AA19" t="inlineStr">
        <is>
          <t>Preserve</t>
        </is>
      </c>
    </row>
    <row r="20">
      <c r="A20" t="inlineStr">
        <is>
          <t>E</t>
        </is>
      </c>
      <c r="B20" t="inlineStr">
        <is>
          <t>Exclusion applied</t>
        </is>
      </c>
      <c r="C20" t="inlineStr">
        <is>
          <t>Atlanta DC</t>
        </is>
      </c>
      <c r="D20" t="inlineStr">
        <is>
          <t>Lot 2 - Roma</t>
        </is>
      </c>
      <c r="E20" t="inlineStr">
        <is>
          <t>Roma Tomato Bulk 25lb</t>
        </is>
      </c>
      <c r="F20" t="inlineStr">
        <is>
          <t>Spring 2026</t>
        </is>
      </c>
      <c r="G20" t="inlineStr">
        <is>
          <t>Sunbelt Produce</t>
        </is>
      </c>
      <c r="H20" t="inlineStr">
        <is>
          <t>Green Valley Farms</t>
        </is>
      </c>
      <c r="I20" t="inlineStr">
        <is>
          <t>No</t>
        </is>
      </c>
      <c r="J20" s="71" t="n">
        <v>5200</v>
      </c>
      <c r="K20" s="72" t="n">
        <v>1</v>
      </c>
      <c r="L20" s="61" t="n">
        <v>10.5</v>
      </c>
      <c r="M20" s="61" t="n">
        <v>54600</v>
      </c>
      <c r="N20" s="61" t="n">
        <v>13.5</v>
      </c>
      <c r="O20" s="61" t="n">
        <v>70200</v>
      </c>
      <c r="P20" s="61" t="n">
        <v>15600</v>
      </c>
      <c r="Q20" s="72" t="n">
        <v>-0.2222222222222222</v>
      </c>
      <c r="R20" s="71" t="n">
        <v>100</v>
      </c>
      <c r="S20" s="71" t="n">
        <v>95</v>
      </c>
      <c r="T20" s="71" t="n">
        <v>100</v>
      </c>
      <c r="U20" s="71" t="n">
        <v>100</v>
      </c>
      <c r="V20" s="71" t="n">
        <v>0</v>
      </c>
      <c r="W20" s="71" t="n">
        <v>78.90000000000001</v>
      </c>
      <c r="X20" t="inlineStr">
        <is>
          <t>No</t>
        </is>
      </c>
      <c r="Y20" t="inlineStr">
        <is>
          <t>No</t>
        </is>
      </c>
      <c r="Z20" s="71" t="n"/>
      <c r="AA20" t="inlineStr">
        <is>
          <t>Create</t>
        </is>
      </c>
    </row>
    <row r="21">
      <c r="A21" t="inlineStr">
        <is>
          <t>E</t>
        </is>
      </c>
      <c r="B21" t="inlineStr">
        <is>
          <t>Exclusion applied</t>
        </is>
      </c>
      <c r="C21" t="inlineStr">
        <is>
          <t>Dallas DC</t>
        </is>
      </c>
      <c r="D21" t="inlineStr">
        <is>
          <t>Lot 1 - Grape</t>
        </is>
      </c>
      <c r="E21" t="inlineStr">
        <is>
          <t>Premium Grape Tomato 10oz</t>
        </is>
      </c>
      <c r="F21" t="inlineStr">
        <is>
          <t>Spring 2026</t>
        </is>
      </c>
      <c r="G21" t="inlineStr">
        <is>
          <t>Green Valley Farms</t>
        </is>
      </c>
      <c r="H21" t="inlineStr">
        <is>
          <t>Green Valley Farms</t>
        </is>
      </c>
      <c r="I21" t="inlineStr">
        <is>
          <t>Yes</t>
        </is>
      </c>
      <c r="J21" s="71" t="n">
        <v>5200</v>
      </c>
      <c r="K21" s="72" t="n">
        <v>1</v>
      </c>
      <c r="L21" s="61" t="n">
        <v>10.5</v>
      </c>
      <c r="M21" s="61" t="n">
        <v>54600</v>
      </c>
      <c r="N21" s="61" t="n">
        <v>13.5</v>
      </c>
      <c r="O21" s="61" t="n">
        <v>70200</v>
      </c>
      <c r="P21" s="61" t="n">
        <v>15600</v>
      </c>
      <c r="Q21" s="72" t="n">
        <v>-0.2222222222222222</v>
      </c>
      <c r="R21" s="71" t="n">
        <v>100</v>
      </c>
      <c r="S21" s="71" t="n">
        <v>95</v>
      </c>
      <c r="T21" s="71" t="n">
        <v>100</v>
      </c>
      <c r="U21" s="71" t="n">
        <v>100</v>
      </c>
      <c r="V21" s="71" t="n">
        <v>100</v>
      </c>
      <c r="W21" s="71" t="n">
        <v>98.90000000000001</v>
      </c>
      <c r="X21" t="inlineStr">
        <is>
          <t>No</t>
        </is>
      </c>
      <c r="Y21" t="inlineStr">
        <is>
          <t>No</t>
        </is>
      </c>
      <c r="Z21" s="71" t="n"/>
      <c r="AA21" t="inlineStr">
        <is>
          <t>Preserve</t>
        </is>
      </c>
    </row>
    <row r="22">
      <c r="A22" t="inlineStr">
        <is>
          <t>E</t>
        </is>
      </c>
      <c r="B22" t="inlineStr">
        <is>
          <t>Exclusion applied</t>
        </is>
      </c>
      <c r="C22" t="inlineStr">
        <is>
          <t>Dallas DC</t>
        </is>
      </c>
      <c r="D22" t="inlineStr">
        <is>
          <t>Lot 2 - Roma</t>
        </is>
      </c>
      <c r="E22" t="inlineStr">
        <is>
          <t>Roma Tomato Bulk 25lb</t>
        </is>
      </c>
      <c r="F22" t="inlineStr">
        <is>
          <t>Spring 2026</t>
        </is>
      </c>
      <c r="G22" t="inlineStr">
        <is>
          <t>Sunbelt Produce</t>
        </is>
      </c>
      <c r="H22" t="inlineStr">
        <is>
          <t>Green Valley Farms</t>
        </is>
      </c>
      <c r="I22" t="inlineStr">
        <is>
          <t>No</t>
        </is>
      </c>
      <c r="J22" s="71" t="n">
        <v>5200</v>
      </c>
      <c r="K22" s="72" t="n">
        <v>1</v>
      </c>
      <c r="L22" s="61" t="n">
        <v>10.5</v>
      </c>
      <c r="M22" s="61" t="n">
        <v>54600</v>
      </c>
      <c r="N22" s="61" t="n">
        <v>13.5</v>
      </c>
      <c r="O22" s="61" t="n">
        <v>70200</v>
      </c>
      <c r="P22" s="61" t="n">
        <v>15600</v>
      </c>
      <c r="Q22" s="72" t="n">
        <v>-0.2222222222222222</v>
      </c>
      <c r="R22" s="71" t="n">
        <v>100</v>
      </c>
      <c r="S22" s="71" t="n">
        <v>95</v>
      </c>
      <c r="T22" s="71" t="n">
        <v>100</v>
      </c>
      <c r="U22" s="71" t="n">
        <v>100</v>
      </c>
      <c r="V22" s="71" t="n">
        <v>0</v>
      </c>
      <c r="W22" s="71" t="n">
        <v>78.90000000000001</v>
      </c>
      <c r="X22" t="inlineStr">
        <is>
          <t>No</t>
        </is>
      </c>
      <c r="Y22" t="inlineStr">
        <is>
          <t>No</t>
        </is>
      </c>
      <c r="Z22" s="71" t="n"/>
      <c r="AA22" t="inlineStr">
        <is>
          <t>Create</t>
        </is>
      </c>
    </row>
    <row r="23">
      <c r="A23" t="inlineStr">
        <is>
          <t>F</t>
        </is>
      </c>
      <c r="B23" t="inlineStr">
        <is>
          <t>Custom override</t>
        </is>
      </c>
      <c r="C23" t="inlineStr">
        <is>
          <t>Atlanta DC</t>
        </is>
      </c>
      <c r="D23" t="inlineStr">
        <is>
          <t>Lot 1 - Grape</t>
        </is>
      </c>
      <c r="E23" t="inlineStr">
        <is>
          <t>Premium Grape Tomato 10oz</t>
        </is>
      </c>
      <c r="F23" t="inlineStr">
        <is>
          <t>Spring 2026</t>
        </is>
      </c>
      <c r="G23" t="inlineStr">
        <is>
          <t>Green Valley Farms</t>
        </is>
      </c>
      <c r="H23" t="inlineStr">
        <is>
          <t>Green Valley Farms</t>
        </is>
      </c>
      <c r="I23" t="inlineStr">
        <is>
          <t>Yes</t>
        </is>
      </c>
      <c r="J23" s="71" t="n">
        <v>5200</v>
      </c>
      <c r="K23" s="72" t="n">
        <v>1</v>
      </c>
      <c r="L23" s="61" t="n">
        <v>10.5</v>
      </c>
      <c r="M23" s="61" t="n">
        <v>54600</v>
      </c>
      <c r="N23" s="61" t="n">
        <v>13.5</v>
      </c>
      <c r="O23" s="61" t="n">
        <v>70200</v>
      </c>
      <c r="P23" s="61" t="n">
        <v>15600</v>
      </c>
      <c r="Q23" s="72" t="n">
        <v>-0.2222222222222222</v>
      </c>
      <c r="R23" s="71" t="n">
        <v>100</v>
      </c>
      <c r="S23" s="71" t="n">
        <v>95</v>
      </c>
      <c r="T23" s="71" t="n">
        <v>100</v>
      </c>
      <c r="U23" s="71" t="n">
        <v>100</v>
      </c>
      <c r="V23" s="71" t="n">
        <v>100</v>
      </c>
      <c r="W23" s="71" t="n">
        <v>98.90000000000001</v>
      </c>
      <c r="X23" t="inlineStr">
        <is>
          <t>No</t>
        </is>
      </c>
      <c r="Y23" t="inlineStr">
        <is>
          <t>No</t>
        </is>
      </c>
      <c r="Z23" s="71" t="n"/>
      <c r="AA23" t="inlineStr">
        <is>
          <t>Preserve</t>
        </is>
      </c>
    </row>
    <row r="24">
      <c r="A24" t="inlineStr">
        <is>
          <t>F</t>
        </is>
      </c>
      <c r="B24" t="inlineStr">
        <is>
          <t>Custom override</t>
        </is>
      </c>
      <c r="C24" t="inlineStr">
        <is>
          <t>Atlanta DC</t>
        </is>
      </c>
      <c r="D24" t="inlineStr">
        <is>
          <t>Lot 2 - Roma</t>
        </is>
      </c>
      <c r="E24" t="inlineStr">
        <is>
          <t>Roma Tomato Bulk 25lb</t>
        </is>
      </c>
      <c r="F24" t="inlineStr">
        <is>
          <t>Spring 2026</t>
        </is>
      </c>
      <c r="G24" t="inlineStr">
        <is>
          <t>Sunbelt Produce</t>
        </is>
      </c>
      <c r="H24" t="inlineStr">
        <is>
          <t>Green Valley Farms</t>
        </is>
      </c>
      <c r="I24" t="inlineStr">
        <is>
          <t>No</t>
        </is>
      </c>
      <c r="J24" s="71" t="n">
        <v>5200</v>
      </c>
      <c r="K24" s="72" t="n">
        <v>1</v>
      </c>
      <c r="L24" s="61" t="n">
        <v>10.5</v>
      </c>
      <c r="M24" s="61" t="n">
        <v>54600</v>
      </c>
      <c r="N24" s="61" t="n">
        <v>13.5</v>
      </c>
      <c r="O24" s="61" t="n">
        <v>70200</v>
      </c>
      <c r="P24" s="61" t="n">
        <v>15600</v>
      </c>
      <c r="Q24" s="72" t="n">
        <v>-0.2222222222222222</v>
      </c>
      <c r="R24" s="71" t="n">
        <v>100</v>
      </c>
      <c r="S24" s="71" t="n">
        <v>95</v>
      </c>
      <c r="T24" s="71" t="n">
        <v>100</v>
      </c>
      <c r="U24" s="71" t="n">
        <v>100</v>
      </c>
      <c r="V24" s="71" t="n">
        <v>0</v>
      </c>
      <c r="W24" s="71" t="n">
        <v>78.90000000000001</v>
      </c>
      <c r="X24" t="inlineStr">
        <is>
          <t>No</t>
        </is>
      </c>
      <c r="Y24" t="inlineStr">
        <is>
          <t>No</t>
        </is>
      </c>
      <c r="Z24" s="71" t="n"/>
      <c r="AA24" t="inlineStr">
        <is>
          <t>Create</t>
        </is>
      </c>
    </row>
    <row r="25">
      <c r="A25" t="inlineStr">
        <is>
          <t>F</t>
        </is>
      </c>
      <c r="B25" t="inlineStr">
        <is>
          <t>Custom override</t>
        </is>
      </c>
      <c r="C25" t="inlineStr">
        <is>
          <t>Dallas DC</t>
        </is>
      </c>
      <c r="D25" t="inlineStr">
        <is>
          <t>Lot 1 - Grape</t>
        </is>
      </c>
      <c r="E25" t="inlineStr">
        <is>
          <t>Premium Grape Tomato 10oz</t>
        </is>
      </c>
      <c r="F25" t="inlineStr">
        <is>
          <t>Spring 2026</t>
        </is>
      </c>
      <c r="G25" t="inlineStr">
        <is>
          <t>Green Valley Farms</t>
        </is>
      </c>
      <c r="H25" t="inlineStr">
        <is>
          <t>Green Valley Farms</t>
        </is>
      </c>
      <c r="I25" t="inlineStr">
        <is>
          <t>Yes</t>
        </is>
      </c>
      <c r="J25" s="71" t="n">
        <v>5200</v>
      </c>
      <c r="K25" s="72" t="n">
        <v>1</v>
      </c>
      <c r="L25" s="61" t="n">
        <v>10.5</v>
      </c>
      <c r="M25" s="61" t="n">
        <v>54600</v>
      </c>
      <c r="N25" s="61" t="n">
        <v>13.5</v>
      </c>
      <c r="O25" s="61" t="n">
        <v>70200</v>
      </c>
      <c r="P25" s="61" t="n">
        <v>15600</v>
      </c>
      <c r="Q25" s="72" t="n">
        <v>-0.2222222222222222</v>
      </c>
      <c r="R25" s="71" t="n">
        <v>100</v>
      </c>
      <c r="S25" s="71" t="n">
        <v>95</v>
      </c>
      <c r="T25" s="71" t="n">
        <v>100</v>
      </c>
      <c r="U25" s="71" t="n">
        <v>100</v>
      </c>
      <c r="V25" s="71" t="n">
        <v>100</v>
      </c>
      <c r="W25" s="71" t="n">
        <v>98.90000000000001</v>
      </c>
      <c r="X25" t="inlineStr">
        <is>
          <t>No</t>
        </is>
      </c>
      <c r="Y25" t="inlineStr">
        <is>
          <t>No</t>
        </is>
      </c>
      <c r="Z25" s="71" t="n"/>
      <c r="AA25" t="inlineStr">
        <is>
          <t>Preserve</t>
        </is>
      </c>
    </row>
    <row r="26">
      <c r="A26" t="inlineStr">
        <is>
          <t>F</t>
        </is>
      </c>
      <c r="B26" t="inlineStr">
        <is>
          <t>Custom override</t>
        </is>
      </c>
      <c r="C26" t="inlineStr">
        <is>
          <t>Dallas DC</t>
        </is>
      </c>
      <c r="D26" t="inlineStr">
        <is>
          <t>Lot 2 - Roma</t>
        </is>
      </c>
      <c r="E26" t="inlineStr">
        <is>
          <t>Roma Tomato Bulk 25lb</t>
        </is>
      </c>
      <c r="F26" t="inlineStr">
        <is>
          <t>Spring 2026</t>
        </is>
      </c>
      <c r="G26" t="inlineStr">
        <is>
          <t>Sunbelt Produce</t>
        </is>
      </c>
      <c r="H26" t="inlineStr">
        <is>
          <t>Green Valley Farms</t>
        </is>
      </c>
      <c r="I26" t="inlineStr">
        <is>
          <t>No</t>
        </is>
      </c>
      <c r="J26" s="71" t="n">
        <v>5200</v>
      </c>
      <c r="K26" s="72" t="n">
        <v>1</v>
      </c>
      <c r="L26" s="61" t="n">
        <v>10.5</v>
      </c>
      <c r="M26" s="61" t="n">
        <v>54600</v>
      </c>
      <c r="N26" s="61" t="n">
        <v>13.5</v>
      </c>
      <c r="O26" s="61" t="n">
        <v>70200</v>
      </c>
      <c r="P26" s="61" t="n">
        <v>15600</v>
      </c>
      <c r="Q26" s="72" t="n">
        <v>-0.2222222222222222</v>
      </c>
      <c r="R26" s="71" t="n">
        <v>100</v>
      </c>
      <c r="S26" s="71" t="n">
        <v>95</v>
      </c>
      <c r="T26" s="71" t="n">
        <v>100</v>
      </c>
      <c r="U26" s="71" t="n">
        <v>100</v>
      </c>
      <c r="V26" s="71" t="n">
        <v>0</v>
      </c>
      <c r="W26" s="71" t="n">
        <v>78.90000000000001</v>
      </c>
      <c r="X26" t="inlineStr">
        <is>
          <t>No</t>
        </is>
      </c>
      <c r="Y26" t="inlineStr">
        <is>
          <t>No</t>
        </is>
      </c>
      <c r="Z26" s="71" t="n"/>
      <c r="AA26" t="inlineStr">
        <is>
          <t>Create</t>
        </is>
      </c>
    </row>
    <row r="27">
      <c r="A27" t="inlineStr">
        <is>
          <t>G</t>
        </is>
      </c>
      <c r="B27" t="inlineStr">
        <is>
          <t>Preferred supplier</t>
        </is>
      </c>
      <c r="C27" t="inlineStr">
        <is>
          <t>Atlanta DC</t>
        </is>
      </c>
      <c r="D27" t="inlineStr">
        <is>
          <t>Lot 1 - Grape</t>
        </is>
      </c>
      <c r="E27" t="inlineStr">
        <is>
          <t>Premium Grape Tomato 10oz</t>
        </is>
      </c>
      <c r="F27" t="inlineStr">
        <is>
          <t>Spring 2026</t>
        </is>
      </c>
      <c r="G27" t="inlineStr">
        <is>
          <t>Green Valley Farms</t>
        </is>
      </c>
      <c r="H27" t="inlineStr">
        <is>
          <t>Green Valley Farms</t>
        </is>
      </c>
      <c r="I27" t="inlineStr">
        <is>
          <t>Yes</t>
        </is>
      </c>
      <c r="J27" s="71" t="n">
        <v>5200</v>
      </c>
      <c r="K27" s="72" t="n">
        <v>1</v>
      </c>
      <c r="L27" s="61" t="n">
        <v>10.5</v>
      </c>
      <c r="M27" s="61" t="n">
        <v>54600</v>
      </c>
      <c r="N27" s="61" t="n">
        <v>13.5</v>
      </c>
      <c r="O27" s="61" t="n">
        <v>70200</v>
      </c>
      <c r="P27" s="61" t="n">
        <v>15600</v>
      </c>
      <c r="Q27" s="72" t="n">
        <v>-0.2222222222222222</v>
      </c>
      <c r="R27" s="71" t="n">
        <v>100</v>
      </c>
      <c r="S27" s="71" t="n">
        <v>95</v>
      </c>
      <c r="T27" s="71" t="n">
        <v>100</v>
      </c>
      <c r="U27" s="71" t="n">
        <v>100</v>
      </c>
      <c r="V27" s="71" t="n">
        <v>100</v>
      </c>
      <c r="W27" s="71" t="n">
        <v>98.90000000000001</v>
      </c>
      <c r="X27" t="inlineStr">
        <is>
          <t>No</t>
        </is>
      </c>
      <c r="Y27" t="inlineStr">
        <is>
          <t>No</t>
        </is>
      </c>
      <c r="Z27" s="71" t="n"/>
      <c r="AA27" t="inlineStr">
        <is>
          <t>Preserve</t>
        </is>
      </c>
    </row>
    <row r="28">
      <c r="A28" t="inlineStr">
        <is>
          <t>G</t>
        </is>
      </c>
      <c r="B28" t="inlineStr">
        <is>
          <t>Preferred supplier</t>
        </is>
      </c>
      <c r="C28" t="inlineStr">
        <is>
          <t>Atlanta DC</t>
        </is>
      </c>
      <c r="D28" t="inlineStr">
        <is>
          <t>Lot 2 - Roma</t>
        </is>
      </c>
      <c r="E28" t="inlineStr">
        <is>
          <t>Roma Tomato Bulk 25lb</t>
        </is>
      </c>
      <c r="F28" t="inlineStr">
        <is>
          <t>Spring 2026</t>
        </is>
      </c>
      <c r="G28" t="inlineStr">
        <is>
          <t>Sunbelt Produce</t>
        </is>
      </c>
      <c r="H28" t="inlineStr">
        <is>
          <t>Green Valley Farms</t>
        </is>
      </c>
      <c r="I28" t="inlineStr">
        <is>
          <t>No</t>
        </is>
      </c>
      <c r="J28" s="71" t="n">
        <v>5200</v>
      </c>
      <c r="K28" s="72" t="n">
        <v>1</v>
      </c>
      <c r="L28" s="61" t="n">
        <v>10.5</v>
      </c>
      <c r="M28" s="61" t="n">
        <v>54600</v>
      </c>
      <c r="N28" s="61" t="n">
        <v>13.5</v>
      </c>
      <c r="O28" s="61" t="n">
        <v>70200</v>
      </c>
      <c r="P28" s="61" t="n">
        <v>15600</v>
      </c>
      <c r="Q28" s="72" t="n">
        <v>-0.2222222222222222</v>
      </c>
      <c r="R28" s="71" t="n">
        <v>100</v>
      </c>
      <c r="S28" s="71" t="n">
        <v>95</v>
      </c>
      <c r="T28" s="71" t="n">
        <v>100</v>
      </c>
      <c r="U28" s="71" t="n">
        <v>100</v>
      </c>
      <c r="V28" s="71" t="n">
        <v>0</v>
      </c>
      <c r="W28" s="71" t="n">
        <v>78.90000000000001</v>
      </c>
      <c r="X28" t="inlineStr">
        <is>
          <t>No</t>
        </is>
      </c>
      <c r="Y28" t="inlineStr">
        <is>
          <t>No</t>
        </is>
      </c>
      <c r="Z28" s="71" t="n"/>
      <c r="AA28" t="inlineStr">
        <is>
          <t>Create</t>
        </is>
      </c>
    </row>
    <row r="29">
      <c r="A29" t="inlineStr">
        <is>
          <t>G</t>
        </is>
      </c>
      <c r="B29" t="inlineStr">
        <is>
          <t>Preferred supplier</t>
        </is>
      </c>
      <c r="C29" t="inlineStr">
        <is>
          <t>Dallas DC</t>
        </is>
      </c>
      <c r="D29" t="inlineStr">
        <is>
          <t>Lot 1 - Grape</t>
        </is>
      </c>
      <c r="E29" t="inlineStr">
        <is>
          <t>Premium Grape Tomato 10oz</t>
        </is>
      </c>
      <c r="F29" t="inlineStr">
        <is>
          <t>Spring 2026</t>
        </is>
      </c>
      <c r="G29" t="inlineStr">
        <is>
          <t>Green Valley Farms</t>
        </is>
      </c>
      <c r="H29" t="inlineStr">
        <is>
          <t>Green Valley Farms</t>
        </is>
      </c>
      <c r="I29" t="inlineStr">
        <is>
          <t>Yes</t>
        </is>
      </c>
      <c r="J29" s="71" t="n">
        <v>5200</v>
      </c>
      <c r="K29" s="72" t="n">
        <v>1</v>
      </c>
      <c r="L29" s="61" t="n">
        <v>10.5</v>
      </c>
      <c r="M29" s="61" t="n">
        <v>54600</v>
      </c>
      <c r="N29" s="61" t="n">
        <v>13.5</v>
      </c>
      <c r="O29" s="61" t="n">
        <v>70200</v>
      </c>
      <c r="P29" s="61" t="n">
        <v>15600</v>
      </c>
      <c r="Q29" s="72" t="n">
        <v>-0.2222222222222222</v>
      </c>
      <c r="R29" s="71" t="n">
        <v>100</v>
      </c>
      <c r="S29" s="71" t="n">
        <v>95</v>
      </c>
      <c r="T29" s="71" t="n">
        <v>100</v>
      </c>
      <c r="U29" s="71" t="n">
        <v>100</v>
      </c>
      <c r="V29" s="71" t="n">
        <v>100</v>
      </c>
      <c r="W29" s="71" t="n">
        <v>98.90000000000001</v>
      </c>
      <c r="X29" t="inlineStr">
        <is>
          <t>No</t>
        </is>
      </c>
      <c r="Y29" t="inlineStr">
        <is>
          <t>No</t>
        </is>
      </c>
      <c r="Z29" s="71" t="n"/>
      <c r="AA29" t="inlineStr">
        <is>
          <t>Preserve</t>
        </is>
      </c>
    </row>
    <row r="30">
      <c r="A30" t="inlineStr">
        <is>
          <t>G</t>
        </is>
      </c>
      <c r="B30" t="inlineStr">
        <is>
          <t>Preferred supplier</t>
        </is>
      </c>
      <c r="C30" t="inlineStr">
        <is>
          <t>Dallas DC</t>
        </is>
      </c>
      <c r="D30" t="inlineStr">
        <is>
          <t>Lot 2 - Roma</t>
        </is>
      </c>
      <c r="E30" t="inlineStr">
        <is>
          <t>Roma Tomato Bulk 25lb</t>
        </is>
      </c>
      <c r="F30" t="inlineStr">
        <is>
          <t>Spring 2026</t>
        </is>
      </c>
      <c r="G30" t="inlineStr">
        <is>
          <t>Sunbelt Produce</t>
        </is>
      </c>
      <c r="H30" t="inlineStr">
        <is>
          <t>Green Valley Farms</t>
        </is>
      </c>
      <c r="I30" t="inlineStr">
        <is>
          <t>No</t>
        </is>
      </c>
      <c r="J30" s="71" t="n">
        <v>5200</v>
      </c>
      <c r="K30" s="72" t="n">
        <v>1</v>
      </c>
      <c r="L30" s="61" t="n">
        <v>10.5</v>
      </c>
      <c r="M30" s="61" t="n">
        <v>54600</v>
      </c>
      <c r="N30" s="61" t="n">
        <v>13.5</v>
      </c>
      <c r="O30" s="61" t="n">
        <v>70200</v>
      </c>
      <c r="P30" s="61" t="n">
        <v>15600</v>
      </c>
      <c r="Q30" s="72" t="n">
        <v>-0.2222222222222222</v>
      </c>
      <c r="R30" s="71" t="n">
        <v>100</v>
      </c>
      <c r="S30" s="71" t="n">
        <v>95</v>
      </c>
      <c r="T30" s="71" t="n">
        <v>100</v>
      </c>
      <c r="U30" s="71" t="n">
        <v>100</v>
      </c>
      <c r="V30" s="71" t="n">
        <v>0</v>
      </c>
      <c r="W30" s="71" t="n">
        <v>78.90000000000001</v>
      </c>
      <c r="X30" t="inlineStr">
        <is>
          <t>No</t>
        </is>
      </c>
      <c r="Y30" t="inlineStr">
        <is>
          <t>No</t>
        </is>
      </c>
      <c r="Z30" s="71" t="n"/>
      <c r="AA30" t="inlineStr">
        <is>
          <t>Create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2026-06-21T18:53:30Z</dcterms:created>
  <dcterms:modified xsi:type="dcterms:W3CDTF">2026-06-21T18:53:30Z</dcterms:modified>
</cp:coreProperties>
</file>